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2"/>
  </bookViews>
  <sheets>
    <sheet name="Setup" sheetId="1" r:id="rId1"/>
    <sheet name="Keywords" sheetId="2" r:id="rId2"/>
    <sheet name="Keyword Test" sheetId="3" r:id="rId3"/>
    <sheet name="Command Test" sheetId="4" r:id="rId4"/>
    <sheet name="Sentence Test" sheetId="5" r:id="rId5"/>
    <sheet name="Summary" sheetId="6" r:id="rId6"/>
  </sheets>
  <definedNames>
    <definedName name="_xlnm.Print_Titles" localSheetId="2">'Keyword Test'!$3:$3</definedName>
    <definedName name="_xlnm.Print_Titles" localSheetId="4">'Sentence Test'!$3:$3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3" l="1"/>
  <c r="E61" i="6"/>
  <c r="D61" i="6"/>
  <c r="C61" i="6"/>
  <c r="B61" i="6"/>
  <c r="E60" i="6"/>
  <c r="D60" i="6"/>
  <c r="C60" i="6"/>
  <c r="E59" i="6"/>
  <c r="D59" i="6"/>
  <c r="C59" i="6"/>
  <c r="B59" i="6"/>
  <c r="E58" i="6"/>
  <c r="D58" i="6"/>
  <c r="C58" i="6"/>
  <c r="B58" i="6"/>
  <c r="E57" i="6"/>
  <c r="E62" i="6" s="1"/>
  <c r="D57" i="6"/>
  <c r="D62" i="6" s="1"/>
  <c r="C57" i="6"/>
  <c r="D53" i="6"/>
  <c r="E53" i="6" s="1"/>
  <c r="B53" i="6"/>
  <c r="C53" i="6" s="1"/>
  <c r="D52" i="6"/>
  <c r="E52" i="6" s="1"/>
  <c r="B52" i="6"/>
  <c r="C52" i="6" s="1"/>
  <c r="F47" i="6"/>
  <c r="E47" i="6"/>
  <c r="E46" i="6"/>
  <c r="C46" i="6"/>
  <c r="B46" i="6"/>
  <c r="D46" i="6" s="1"/>
  <c r="E45" i="6"/>
  <c r="C45" i="6"/>
  <c r="B45" i="6"/>
  <c r="D45" i="6" s="1"/>
  <c r="A41" i="6"/>
  <c r="D41" i="6" s="1"/>
  <c r="E41" i="6" s="1"/>
  <c r="A40" i="6"/>
  <c r="A39" i="6"/>
  <c r="B39" i="6" s="1"/>
  <c r="C39" i="6" s="1"/>
  <c r="A38" i="6"/>
  <c r="A37" i="6"/>
  <c r="A36" i="6"/>
  <c r="A35" i="6"/>
  <c r="A34" i="6"/>
  <c r="A33" i="6"/>
  <c r="A32" i="6"/>
  <c r="A31" i="6"/>
  <c r="A30" i="6"/>
  <c r="D30" i="6" s="1"/>
  <c r="E30" i="6" s="1"/>
  <c r="A29" i="6"/>
  <c r="D29" i="6" s="1"/>
  <c r="E29" i="6" s="1"/>
  <c r="A28" i="6"/>
  <c r="A27" i="6"/>
  <c r="A26" i="6"/>
  <c r="A25" i="6"/>
  <c r="A24" i="6"/>
  <c r="A23" i="6"/>
  <c r="A22" i="6"/>
  <c r="B17" i="6"/>
  <c r="C17" i="6" s="1"/>
  <c r="B16" i="6"/>
  <c r="C16" i="6" s="1"/>
  <c r="E14" i="6"/>
  <c r="D14" i="6"/>
  <c r="B14" i="6"/>
  <c r="C14" i="6" s="1"/>
  <c r="B13" i="6"/>
  <c r="C13" i="6" s="1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D17" i="6" s="1"/>
  <c r="E17" i="6" s="1"/>
  <c r="H15" i="4"/>
  <c r="D16" i="6" s="1"/>
  <c r="E16" i="6" s="1"/>
  <c r="H14" i="4"/>
  <c r="D15" i="6" s="1"/>
  <c r="E15" i="6" s="1"/>
  <c r="H13" i="4"/>
  <c r="H12" i="4"/>
  <c r="D13" i="6" s="1"/>
  <c r="E13" i="6" s="1"/>
  <c r="H11" i="4"/>
  <c r="D12" i="6" s="1"/>
  <c r="H10" i="4"/>
  <c r="H9" i="4"/>
  <c r="H8" i="4"/>
  <c r="B15" i="6" s="1"/>
  <c r="C15" i="6" s="1"/>
  <c r="H7" i="4"/>
  <c r="H6" i="4"/>
  <c r="H5" i="4"/>
  <c r="B12" i="6" s="1"/>
  <c r="H4" i="4"/>
  <c r="J44" i="3"/>
  <c r="J43" i="3"/>
  <c r="D40" i="6" s="1"/>
  <c r="E40" i="6" s="1"/>
  <c r="J42" i="3"/>
  <c r="D39" i="6" s="1"/>
  <c r="E39" i="6" s="1"/>
  <c r="J41" i="3"/>
  <c r="J40" i="3"/>
  <c r="J39" i="3"/>
  <c r="D36" i="6" s="1"/>
  <c r="E36" i="6" s="1"/>
  <c r="J38" i="3"/>
  <c r="D35" i="6" s="1"/>
  <c r="E35" i="6" s="1"/>
  <c r="J37" i="3"/>
  <c r="J36" i="3"/>
  <c r="J35" i="3"/>
  <c r="D32" i="6" s="1"/>
  <c r="E32" i="6" s="1"/>
  <c r="J34" i="3"/>
  <c r="D31" i="6" s="1"/>
  <c r="E31" i="6" s="1"/>
  <c r="J33" i="3"/>
  <c r="J32" i="3"/>
  <c r="J31" i="3"/>
  <c r="D28" i="6" s="1"/>
  <c r="E28" i="6" s="1"/>
  <c r="J30" i="3"/>
  <c r="D27" i="6" s="1"/>
  <c r="E27" i="6" s="1"/>
  <c r="J29" i="3"/>
  <c r="J28" i="3"/>
  <c r="J27" i="3"/>
  <c r="D24" i="6" s="1"/>
  <c r="E24" i="6" s="1"/>
  <c r="J26" i="3"/>
  <c r="D23" i="6" s="1"/>
  <c r="E23" i="6" s="1"/>
  <c r="J25" i="3"/>
  <c r="J24" i="3"/>
  <c r="B41" i="6" s="1"/>
  <c r="C41" i="6" s="1"/>
  <c r="B40" i="6"/>
  <c r="C40" i="6" s="1"/>
  <c r="J22" i="3"/>
  <c r="J21" i="3"/>
  <c r="B38" i="6" s="1"/>
  <c r="C38" i="6" s="1"/>
  <c r="J20" i="3"/>
  <c r="B37" i="6" s="1"/>
  <c r="C37" i="6" s="1"/>
  <c r="J19" i="3"/>
  <c r="B36" i="6" s="1"/>
  <c r="C36" i="6" s="1"/>
  <c r="J18" i="3"/>
  <c r="J17" i="3"/>
  <c r="J16" i="3"/>
  <c r="J15" i="3"/>
  <c r="B32" i="6" s="1"/>
  <c r="C32" i="6" s="1"/>
  <c r="J14" i="3"/>
  <c r="J13" i="3"/>
  <c r="J12" i="3"/>
  <c r="B29" i="6" s="1"/>
  <c r="C29" i="6" s="1"/>
  <c r="J11" i="3"/>
  <c r="B28" i="6" s="1"/>
  <c r="C28" i="6" s="1"/>
  <c r="J10" i="3"/>
  <c r="B57" i="6" s="1"/>
  <c r="J9" i="3"/>
  <c r="B26" i="6" s="1"/>
  <c r="C26" i="6" s="1"/>
  <c r="J8" i="3"/>
  <c r="B25" i="6" s="1"/>
  <c r="C25" i="6" s="1"/>
  <c r="J7" i="3"/>
  <c r="B24" i="6" s="1"/>
  <c r="C24" i="6" s="1"/>
  <c r="J6" i="3"/>
  <c r="J5" i="3"/>
  <c r="J4" i="3"/>
  <c r="F45" i="6"/>
  <c r="F46" i="6"/>
  <c r="D22" i="6" l="1"/>
  <c r="E22" i="6" s="1"/>
  <c r="D33" i="6"/>
  <c r="E33" i="6" s="1"/>
  <c r="D34" i="6"/>
  <c r="E34" i="6" s="1"/>
  <c r="B31" i="6"/>
  <c r="C31" i="6" s="1"/>
  <c r="B60" i="6"/>
  <c r="B62" i="6" s="1"/>
  <c r="B23" i="6"/>
  <c r="C23" i="6" s="1"/>
  <c r="C47" i="6"/>
  <c r="B6" i="6"/>
  <c r="D25" i="6"/>
  <c r="E25" i="6" s="1"/>
  <c r="D26" i="6"/>
  <c r="E26" i="6" s="1"/>
  <c r="C6" i="6"/>
  <c r="D6" i="6" s="1"/>
  <c r="F6" i="6" s="1"/>
  <c r="D37" i="6"/>
  <c r="E37" i="6" s="1"/>
  <c r="D38" i="6"/>
  <c r="E38" i="6" s="1"/>
  <c r="B35" i="6"/>
  <c r="C35" i="6" s="1"/>
  <c r="B27" i="6"/>
  <c r="C27" i="6" s="1"/>
  <c r="B63" i="6"/>
  <c r="C62" i="6"/>
  <c r="C12" i="6"/>
  <c r="B18" i="6"/>
  <c r="C18" i="6" s="1"/>
  <c r="E12" i="6"/>
  <c r="D18" i="6"/>
  <c r="E18" i="6" s="1"/>
  <c r="B33" i="6"/>
  <c r="C33" i="6" s="1"/>
  <c r="B5" i="6"/>
  <c r="D51" i="6"/>
  <c r="E51" i="6" s="1"/>
  <c r="C5" i="6"/>
  <c r="B22" i="6"/>
  <c r="C22" i="6" s="1"/>
  <c r="B34" i="6"/>
  <c r="C34" i="6" s="1"/>
  <c r="B47" i="6"/>
  <c r="D47" i="6" s="1"/>
  <c r="B30" i="6"/>
  <c r="C30" i="6" s="1"/>
  <c r="B51" i="6"/>
  <c r="C51" i="6" s="1"/>
  <c r="C7" i="6" l="1"/>
  <c r="B7" i="6"/>
  <c r="D7" i="6" s="1"/>
  <c r="D5" i="6"/>
  <c r="F5" i="6" s="1"/>
</calcChain>
</file>

<file path=xl/sharedStrings.xml><?xml version="1.0" encoding="utf-8"?>
<sst xmlns="http://schemas.openxmlformats.org/spreadsheetml/2006/main" count="1237" uniqueCount="386">
  <si>
    <t>Nynaja Maternal Health VUI: Test Tally Sheet</t>
  </si>
  <si>
    <t>Keyword test, navigation command test and test-sentence test (WER/CER), English and Nyanja</t>
  </si>
  <si>
    <t>Test setup (fill in the yellow cells)</t>
  </si>
  <si>
    <t>Test date</t>
  </si>
  <si>
    <t>e.g. 17 Oct 2026</t>
  </si>
  <si>
    <t>Tester</t>
  </si>
  <si>
    <t>Your name</t>
  </si>
  <si>
    <t>Device (model, Android version)</t>
  </si>
  <si>
    <t>Real phone, so response times are meaningful</t>
  </si>
  <si>
    <t>ASR route tested</t>
  </si>
  <si>
    <t>e.g. Vosk (small model) / Google Speech-to-Text V2</t>
  </si>
  <si>
    <t>Test environment</t>
  </si>
  <si>
    <t>e.g. quiet room; describe the noise source and distance for noisy runs</t>
  </si>
  <si>
    <t>Speakers (S1, S2...)</t>
  </si>
  <si>
    <t>Number of speakers and a short description (e.g. S1 female, S2 male)</t>
  </si>
  <si>
    <t>How to use</t>
  </si>
  <si>
    <t>1. Keyword Test: say each keyword to the app, then record the ASR transcript and the topic the app selected. Two rounds are set up (S1, S2).</t>
  </si>
  <si>
    <t>2. Command Test: say each navigation word (yes, no, repeat, stop, back, menu, in both languages) and record the action triggered.</t>
  </si>
  <si>
    <t>3. Sentence Test: read each test sentence aloud to the ASR and paste the transcript exactly as returned. If nothing is returned, type a dash (-).</t>
  </si>
  <si>
    <t>4. If the ASR returns digits for a number word (e.g. 8 for 'eight'), change it to the word, because the reference sentences spell numbers out.</t>
  </si>
  <si>
    <t>5. 'Correct?' fills itself. For every 'No', choose a failure type.</t>
  </si>
  <si>
    <t>6. Run wer_cer.py on this file to get WER and CER, then type the results into section 7 of the Summary sheet.</t>
  </si>
  <si>
    <t>Legend</t>
  </si>
  <si>
    <t>Yellow cell, blue text</t>
  </si>
  <si>
    <t>Enter data here</t>
  </si>
  <si>
    <t>Grey cell</t>
  </si>
  <si>
    <t>Formula, do not edit</t>
  </si>
  <si>
    <t>Grey italic row</t>
  </si>
  <si>
    <t>Example row showing the format (not counted)</t>
  </si>
  <si>
    <t>Failure types</t>
  </si>
  <si>
    <t>ASR misheard</t>
  </si>
  <si>
    <t>Transcript differs from what was actually said.</t>
  </si>
  <si>
    <t>Keyword mismatch</t>
  </si>
  <si>
    <t>Transcript is right but the wrong topic was selected.</t>
  </si>
  <si>
    <t>Wrong action</t>
  </si>
  <si>
    <t>(Commands) Transcript is right but the wrong action was triggered.</t>
  </si>
  <si>
    <t>No match returned</t>
  </si>
  <si>
    <t>App said it did not understand / offered the menu instead of acting.</t>
  </si>
  <si>
    <t>Other</t>
  </si>
  <si>
    <t>Crash, timeout or anything else (describe in Notes).</t>
  </si>
  <si>
    <t>Reference: topics, keywords and navigation commands</t>
  </si>
  <si>
    <t>Copied from nynaja_keywords_and_test_sentences.xlsx. The test sheets use these values and the topic names feed their dropdowns.</t>
  </si>
  <si>
    <t>ID</t>
  </si>
  <si>
    <t>Topic</t>
  </si>
  <si>
    <t>English keyword</t>
  </si>
  <si>
    <t>Nyanja keyword</t>
  </si>
  <si>
    <t>Pregnancy</t>
  </si>
  <si>
    <t>pregnancy</t>
  </si>
  <si>
    <t>mimba</t>
  </si>
  <si>
    <t>Clinic</t>
  </si>
  <si>
    <t>clinic</t>
  </si>
  <si>
    <t>kliniki</t>
  </si>
  <si>
    <t>Food</t>
  </si>
  <si>
    <t>food</t>
  </si>
  <si>
    <t>chakudya</t>
  </si>
  <si>
    <t>Danger</t>
  </si>
  <si>
    <t>danger</t>
  </si>
  <si>
    <t>ngozi</t>
  </si>
  <si>
    <t>Bleeding</t>
  </si>
  <si>
    <t>bleeding</t>
  </si>
  <si>
    <t>magazi</t>
  </si>
  <si>
    <t>Labour</t>
  </si>
  <si>
    <t>labour</t>
  </si>
  <si>
    <t>kubereka</t>
  </si>
  <si>
    <t>Baby</t>
  </si>
  <si>
    <t>baby</t>
  </si>
  <si>
    <t>khanda</t>
  </si>
  <si>
    <t>Breastfeeding</t>
  </si>
  <si>
    <t>breastfeeding</t>
  </si>
  <si>
    <t>kuyamwitsa</t>
  </si>
  <si>
    <t>Vaccine</t>
  </si>
  <si>
    <t>vaccine</t>
  </si>
  <si>
    <t>katemera</t>
  </si>
  <si>
    <t>Contraception</t>
  </si>
  <si>
    <t>contraception</t>
  </si>
  <si>
    <t>kulera</t>
  </si>
  <si>
    <t>Malaria</t>
  </si>
  <si>
    <t>malaria</t>
  </si>
  <si>
    <t>malungo</t>
  </si>
  <si>
    <t>Hygiene</t>
  </si>
  <si>
    <t>hygiene</t>
  </si>
  <si>
    <t>ukhondo</t>
  </si>
  <si>
    <t>Water</t>
  </si>
  <si>
    <t>water</t>
  </si>
  <si>
    <t>madzi</t>
  </si>
  <si>
    <t>Rest</t>
  </si>
  <si>
    <t>rest</t>
  </si>
  <si>
    <t>kupuma</t>
  </si>
  <si>
    <t>Medicine</t>
  </si>
  <si>
    <t>medicine</t>
  </si>
  <si>
    <t>mankhwala</t>
  </si>
  <si>
    <t>Pills</t>
  </si>
  <si>
    <t>pills</t>
  </si>
  <si>
    <t>mapiritsi</t>
  </si>
  <si>
    <t>Postnatal</t>
  </si>
  <si>
    <t>postnatal</t>
  </si>
  <si>
    <t>pambuyo</t>
  </si>
  <si>
    <t>Child</t>
  </si>
  <si>
    <t>child</t>
  </si>
  <si>
    <t>mwana</t>
  </si>
  <si>
    <t>Help</t>
  </si>
  <si>
    <t>help</t>
  </si>
  <si>
    <t>thandizo</t>
  </si>
  <si>
    <t>Fever</t>
  </si>
  <si>
    <t>fever</t>
  </si>
  <si>
    <t>kutentha</t>
  </si>
  <si>
    <t>-</t>
  </si>
  <si>
    <t>No match</t>
  </si>
  <si>
    <t>Navigation commands</t>
  </si>
  <si>
    <t>Action</t>
  </si>
  <si>
    <t>English</t>
  </si>
  <si>
    <t>Nyanja</t>
  </si>
  <si>
    <t>Yes</t>
  </si>
  <si>
    <t>yes</t>
  </si>
  <si>
    <t>inde</t>
  </si>
  <si>
    <t>No</t>
  </si>
  <si>
    <t>no</t>
  </si>
  <si>
    <t>ayi</t>
  </si>
  <si>
    <t>Repeat</t>
  </si>
  <si>
    <t>repeat</t>
  </si>
  <si>
    <t>bwerezani</t>
  </si>
  <si>
    <t>Stop</t>
  </si>
  <si>
    <t>stop</t>
  </si>
  <si>
    <t>imani</t>
  </si>
  <si>
    <t>Back</t>
  </si>
  <si>
    <t>back</t>
  </si>
  <si>
    <t>bwerera</t>
  </si>
  <si>
    <t>Menu</t>
  </si>
  <si>
    <t>menu</t>
  </si>
  <si>
    <t>menyu</t>
  </si>
  <si>
    <t>Keyword Test: say the keyword, record what the app did</t>
  </si>
  <si>
    <t>Grey columns are fixed. Fill the yellow cells. Row 4 is an example and is not counted.</t>
  </si>
  <si>
    <t>Trial</t>
  </si>
  <si>
    <t>Speaker</t>
  </si>
  <si>
    <t>Condition</t>
  </si>
  <si>
    <t>Language</t>
  </si>
  <si>
    <t>Topic ID</t>
  </si>
  <si>
    <t>Expected topic</t>
  </si>
  <si>
    <t>Keyword to say</t>
  </si>
  <si>
    <t>ASR transcript</t>
  </si>
  <si>
    <t>Topic selected</t>
  </si>
  <si>
    <t>Correct?</t>
  </si>
  <si>
    <t>Failure type</t>
  </si>
  <si>
    <t>Response time (s)</t>
  </si>
  <si>
    <t>Correct audio played?</t>
  </si>
  <si>
    <t>Notes</t>
  </si>
  <si>
    <t>EX</t>
  </si>
  <si>
    <t>S1</t>
  </si>
  <si>
    <t>Quiet</t>
  </si>
  <si>
    <t>None</t>
  </si>
  <si>
    <t>Example row, ignore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</si>
  <si>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</si>
  <si>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</si>
  <si>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</si>
  <si>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</si>
  <si>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</si>
  <si>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</si>
  <si>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</si>
  <si>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</si>
  <si>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</si>
  <si>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</si>
  <si>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</si>
  <si>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</si>
  <si>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</si>
  <si>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</si>
  <si>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</si>
  <si>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</si>
  <si>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</si>
  <si>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</si>
  <si>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</si>
  <si>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</si>
  <si>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</si>
  <si>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</si>
  <si>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</si>
  <si>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</si>
  <si>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</si>
  <si>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</si>
  <si>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</si>
  <si>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</si>
  <si>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</si>
  <si>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</si>
  <si>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</si>
  <si>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</si>
  <si>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</si>
  <si>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</si>
  <si>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</si>
  <si>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</si>
  <si>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</si>
  <si>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</si>
  <si>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</si>
  <si>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</si>
  <si>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</si>
  <si>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S2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</si>
  <si>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</si>
  <si>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</si>
  <si>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</si>
  <si>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</si>
  <si>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</si>
  <si>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</si>
  <si>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</si>
  <si>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</si>
  <si>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</si>
  <si>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</si>
  <si>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</si>
  <si>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</si>
  <si>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</si>
  <si>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</si>
  <si>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</si>
  <si>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</si>
  <si>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</si>
  <si>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</si>
  <si>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</si>
  <si>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</si>
  <si>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</si>
  <si>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</si>
  <si>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</si>
  <si>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</si>
  <si>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</si>
  <si>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</si>
  <si>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</si>
  <si>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</si>
  <si>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</si>
  <si>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</si>
  <si>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</si>
  <si>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</si>
  <si>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</si>
  <si>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</si>
  <si>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</si>
  <si>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</si>
  <si>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</si>
  <si>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</si>
  <si>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</si>
  <si>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Command Test: navigation words</t>
  </si>
  <si>
    <t>Short words such as 'no' and 'ayi' are the easiest to misrecognise, so note any confusions. Row 4 is an example.</t>
  </si>
  <si>
    <t>Expected action</t>
  </si>
  <si>
    <t>Word to say</t>
  </si>
  <si>
    <t>Action triggered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</si>
  <si>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</si>
  <si>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</si>
  <si>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</si>
  <si>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</si>
  <si>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</si>
  <si>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</si>
  <si>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</si>
  <si>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</si>
  <si>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</si>
  <si>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</si>
  <si>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</si>
  <si>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</si>
  <si>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</si>
  <si>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</si>
  <si>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</si>
  <si>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</si>
  <si>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</si>
  <si>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</si>
  <si>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</si>
  <si>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</si>
  <si>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</si>
  <si>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</si>
  <si>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</si>
  <si>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</si>
  <si>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Sentence Test: read each sentence aloud, paste the ASR transcript</t>
  </si>
  <si>
    <t>WER and CER are computed by wer_cer.py from this sheet. Type a dash (-) if the ASR returns nothing. Row 4 is an example.</t>
  </si>
  <si>
    <t>Reference sentence</t>
  </si>
  <si>
    <t>Visit the clinic at least eight times during your pregnancy.</t>
  </si>
  <si>
    <t>visit the clinic at least 8 times during your pregnancy</t>
  </si>
  <si>
    <t>Example row (digit instead of word, fix it)</t>
  </si>
  <si>
    <t>S001</t>
  </si>
  <si>
    <t>Go to the clinic as soon as you know you are pregnant. Eat well and rest often.</t>
  </si>
  <si>
    <t>S002</t>
  </si>
  <si>
    <t>S003</t>
  </si>
  <si>
    <t>Eat beans, vegetables, eggs, fish and fruit every day. Drink enough clean water.</t>
  </si>
  <si>
    <t>S004</t>
  </si>
  <si>
    <t>Go to the clinic at once if you have bleeding, a severe headache or blurred vision. Do not wait.</t>
  </si>
  <si>
    <t>S005</t>
  </si>
  <si>
    <t>Heavy bleeding in pregnancy or after birth is an emergency. Go to the clinic immediately.</t>
  </si>
  <si>
    <t>S006</t>
  </si>
  <si>
    <t>When labour pains start, go to the clinic. Give birth with a trained health worker.</t>
  </si>
  <si>
    <t>S007</t>
  </si>
  <si>
    <t>Keep your newborn warm and hold the baby skin to skin. Keep the cord clean and dry.</t>
  </si>
  <si>
    <t>S008</t>
  </si>
  <si>
    <t>Give only breast milk for the first six months. Start breastfeeding within one hour of birth.</t>
  </si>
  <si>
    <t>S009</t>
  </si>
  <si>
    <t>Vaccines protect your baby from serious diseases. Take your baby for every vaccine on the health card.</t>
  </si>
  <si>
    <t>S010</t>
  </si>
  <si>
    <t>You can choose a family planning method at the clinic. A health worker will help you decide.</t>
  </si>
  <si>
    <t>S011</t>
  </si>
  <si>
    <t>Sleep under a treated mosquito net every night. Go to the clinic if you have a fever.</t>
  </si>
  <si>
    <t>S012</t>
  </si>
  <si>
    <t>Wash your hands with soap before eating and after using the toilet.</t>
  </si>
  <si>
    <t>S013</t>
  </si>
  <si>
    <t>Boil or treat your drinking water. Keep water containers covered.</t>
  </si>
  <si>
    <t>S014</t>
  </si>
  <si>
    <t>Rest when you are tired. Sleep on your side.</t>
  </si>
  <si>
    <t>S015</t>
  </si>
  <si>
    <t>Take only medicine given by the clinic. Ask a health worker before taking any other medicine.</t>
  </si>
  <si>
    <t>S016</t>
  </si>
  <si>
    <t>Take your iron and folic acid tablets every day, as the clinic advised.</t>
  </si>
  <si>
    <t>S017</t>
  </si>
  <si>
    <t>Visit the clinic soon after birth and again six weeks later. Tell the health worker if you have a fever or heavy bleeding.</t>
  </si>
  <si>
    <t>S018</t>
  </si>
  <si>
    <t>Take your child to the clinic if they have a fever, fast breathing or diarrhoea. Give extra fluids when a child has diarrhoea.</t>
  </si>
  <si>
    <t>S019</t>
  </si>
  <si>
    <t>If you need help, go to the nearest clinic or ask a community health worker.</t>
  </si>
  <si>
    <t>S020</t>
  </si>
  <si>
    <t>A fever in pregnancy can be dangerous. Go to the clinic the same day.</t>
  </si>
  <si>
    <t>S021</t>
  </si>
  <si>
    <t>Pitani ku kliniki mukangodziwa kuti muli ndi pakati. Idyani bwino ndipo mupume kawirikawiri.</t>
  </si>
  <si>
    <t>S022</t>
  </si>
  <si>
    <t>Pitani ku kliniki nthawi zosachepera eyiti pa nthawi ya mimba.</t>
  </si>
  <si>
    <t>S023</t>
  </si>
  <si>
    <t>Idyani nyemba, ndiwo zamasamba, mazira, nsomba ndi zipatso tsiku lililonse. Imwani madzi aukhondo okwanira.</t>
  </si>
  <si>
    <t>S024</t>
  </si>
  <si>
    <t>Pitani ku kliniki nthawi yomweyo ngati mukutuluka magazi, mukumva mutu waukulu kapena maso akuphimba. Musadikire.</t>
  </si>
  <si>
    <t>S025</t>
  </si>
  <si>
    <t>Kutuluka magazi kwambiri pa nthawi ya mimba kapena pambuyo pobereka ndi ngozi. Pitani ku kliniki mwamsanga.</t>
  </si>
  <si>
    <t>S026</t>
  </si>
  <si>
    <t>Zowawa zobereka zikayamba, pitani ku kliniki. Berekani ndi katswiri wa zaumoyo.</t>
  </si>
  <si>
    <t>S027</t>
  </si>
  <si>
    <t>Sungani khanda lanu lofunda ndi kuligwira pa chifuwa panu. Sungani mchombo wa khanda woyera ndi wouma.</t>
  </si>
  <si>
    <t>S028</t>
  </si>
  <si>
    <t>Patsani khanda mkaka wa m'mawere wokha kwa miyezi isanu ndi umodzi yoyamba. Yambani kuyamwitsa pasanathe ola limodzi mutabereka.</t>
  </si>
  <si>
    <t>S029</t>
  </si>
  <si>
    <t>Katemera amateteza khanda lanu ku matenda oopsa. Bweretsani khanda ku kliniki kukalandira katemera aliyense wolembedwa pa khadi la umoyo.</t>
  </si>
  <si>
    <t>S030</t>
  </si>
  <si>
    <t>Mungasankhe njira yolerera ku kliniki. Wogwira ntchito zaumoyo adzakuthandizani kusankha.</t>
  </si>
  <si>
    <t>S031</t>
  </si>
  <si>
    <t>Gonani mu ukonde wa udzudzu wothiridwa mankhwala usiku uliwonse. Pitani ku kliniki ngati muli ndi malungo.</t>
  </si>
  <si>
    <t>S032</t>
  </si>
  <si>
    <t>Sambani m'manja ndi sopo musanadye komanso mutapita kuchimbudzi.</t>
  </si>
  <si>
    <t>S033</t>
  </si>
  <si>
    <t>Wiritsani kapena thirani mankhwala madzi akumwa. Phimbani zotengera madzi.</t>
  </si>
  <si>
    <t>S034</t>
  </si>
  <si>
    <t>Mupume mukatopa. Gonani cham'mbali.</t>
  </si>
  <si>
    <t>S035</t>
  </si>
  <si>
    <t>Imwani mankhwala operekedwa ku kliniki okha. Funsani wogwira ntchito zaumoyo musanamwe mankhwala ena.</t>
  </si>
  <si>
    <t>S036</t>
  </si>
  <si>
    <t>Imwani mapiritsi a ayironi ndi folic acid tsiku lililonse monga mwauzidwa ku kliniki.</t>
  </si>
  <si>
    <t>S037</t>
  </si>
  <si>
    <t>Pitani ku kliniki mukangobereka kenako pakatha milungu isanu ndi umodzi. Uzani wogwira ntchito zaumoyo ngati muli ndi malungo kapena mukutuluka magazi kwambiri.</t>
  </si>
  <si>
    <t>S038</t>
  </si>
  <si>
    <t>Bweretsani mwana ku kliniki ngati ali ndi malungo, akupuma mofulumira, kapena akutsegula m'mimba. Mpatseni zakumwa zambiri akamatsegula m'mimba.</t>
  </si>
  <si>
    <t>S039</t>
  </si>
  <si>
    <t>Mukafuna thandizo, pitani ku kliniki yapafupi kapena funsani wogwira ntchito zaumoyo wa kumudzi.</t>
  </si>
  <si>
    <t>S040</t>
  </si>
  <si>
    <t>Malungo pa nthawi ya mimba angakhale oopsa. Pitani ku kliniki tsiku lomwelo.</t>
  </si>
  <si>
    <t>Summary (formulas, updates from the test sheets)</t>
  </si>
  <si>
    <t>1. Keyword-to-topic accuracy by language</t>
  </si>
  <si>
    <t>Attempts</t>
  </si>
  <si>
    <t>Correct</t>
  </si>
  <si>
    <t>Accuracy</t>
  </si>
  <si>
    <t>Target</t>
  </si>
  <si>
    <t>Status</t>
  </si>
  <si>
    <t>Overall</t>
  </si>
  <si>
    <t>Assumption: targets in E5:E6 are placeholders. Replace with the targets in your proposal v2.</t>
  </si>
  <si>
    <t>2. Navigation command accuracy</t>
  </si>
  <si>
    <t>Command</t>
  </si>
  <si>
    <t>English attempts</t>
  </si>
  <si>
    <t>English accuracy</t>
  </si>
  <si>
    <t>Nyanja attempts</t>
  </si>
  <si>
    <t>Nyanja accuracy</t>
  </si>
  <si>
    <t>All commands</t>
  </si>
  <si>
    <t>3. Keyword accuracy by topic (find the weak keywords)</t>
  </si>
  <si>
    <t>4. Task success and response time (Keyword Test)</t>
  </si>
  <si>
    <t>Scored trials</t>
  </si>
  <si>
    <t>Correct audio played</t>
  </si>
  <si>
    <t>Task success</t>
  </si>
  <si>
    <t>Avg response time (s)</t>
  </si>
  <si>
    <t>Max response time (s)</t>
  </si>
  <si>
    <t>5. Keyword accuracy by condition</t>
  </si>
  <si>
    <t>Noisy</t>
  </si>
  <si>
    <t>Far from mic</t>
  </si>
  <si>
    <t>6. Failure breakdown (incorrect trials)</t>
  </si>
  <si>
    <t>Keywords English</t>
  </si>
  <si>
    <t>Keywords Nyanja</t>
  </si>
  <si>
    <t>Commands English</t>
  </si>
  <si>
    <t>Commands Nyanja</t>
  </si>
  <si>
    <t>Total</t>
  </si>
  <si>
    <t>Check: incorrect trials with no failure type (should be 0)</t>
  </si>
  <si>
    <t>7. WER / CER (type in the results printed by wer_cer.py)</t>
  </si>
  <si>
    <t>Sentence clips</t>
  </si>
  <si>
    <t>Sentence WER</t>
  </si>
  <si>
    <t>Sentence CER</t>
  </si>
  <si>
    <t>Keyword clips</t>
  </si>
  <si>
    <t>Keyword CER</t>
  </si>
  <si>
    <t>Failure to recognize on the repeat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</si>
</sst>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FFF9DB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5" borderId="1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164" fontId="4" fillId="3" borderId="1" xfId="0" applyNumberFormat="1" applyFont="1" applyFill="1" applyBorder="1"/>
    <xf numFmtId="0" fontId="6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/>
    <xf numFmtId="165" fontId="5" fillId="0" borderId="1" xfId="0" applyNumberFormat="1" applyFont="1" applyBorder="1"/>
    <xf numFmtId="9" fontId="4" fillId="3" borderId="1" xfId="0" applyNumberFormat="1" applyFont="1" applyFill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0" fontId="2" fillId="0" borderId="1" xfId="0" applyFont="1" applyBorder="1"/>
    <xf numFmtId="1" fontId="4" fillId="3" borderId="1" xfId="0" applyNumberFormat="1" applyFont="1" applyFill="1" applyBorder="1"/>
    <xf numFmtId="165" fontId="4" fillId="3" borderId="1" xfId="0" applyNumberFormat="1" applyFont="1" applyFill="1" applyBorder="1"/>
    <xf numFmtId="0" fontId="8" fillId="3" borderId="1" xfId="0" applyFont="1" applyFill="1" applyBorder="1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44" customWidth="1"/>
    <col min="3" max="3" width="62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4"/>
      <c r="C4" s="4"/>
    </row>
    <row r="5" spans="1:3" x14ac:dyDescent="0.3">
      <c r="A5" s="5" t="s">
        <v>3</v>
      </c>
      <c r="B5" s="6"/>
      <c r="C5" s="2" t="s">
        <v>4</v>
      </c>
    </row>
    <row r="6" spans="1:3" x14ac:dyDescent="0.3">
      <c r="A6" s="5" t="s">
        <v>5</v>
      </c>
      <c r="B6" s="6"/>
      <c r="C6" s="2" t="s">
        <v>6</v>
      </c>
    </row>
    <row r="7" spans="1:3" x14ac:dyDescent="0.3">
      <c r="A7" s="5" t="s">
        <v>7</v>
      </c>
      <c r="B7" s="6"/>
      <c r="C7" s="2" t="s">
        <v>8</v>
      </c>
    </row>
    <row r="8" spans="1:3" x14ac:dyDescent="0.3">
      <c r="A8" s="5" t="s">
        <v>9</v>
      </c>
      <c r="B8" s="6"/>
      <c r="C8" s="2" t="s">
        <v>10</v>
      </c>
    </row>
    <row r="9" spans="1:3" x14ac:dyDescent="0.3">
      <c r="A9" s="5" t="s">
        <v>11</v>
      </c>
      <c r="B9" s="6"/>
      <c r="C9" s="2" t="s">
        <v>12</v>
      </c>
    </row>
    <row r="10" spans="1:3" x14ac:dyDescent="0.3">
      <c r="A10" s="5" t="s">
        <v>13</v>
      </c>
      <c r="B10" s="6"/>
      <c r="C10" s="2" t="s">
        <v>14</v>
      </c>
    </row>
    <row r="12" spans="1:3" x14ac:dyDescent="0.3">
      <c r="A12" s="3" t="s">
        <v>15</v>
      </c>
      <c r="B12" s="4"/>
      <c r="C12" s="4"/>
    </row>
    <row r="13" spans="1:3" x14ac:dyDescent="0.3">
      <c r="A13" s="7" t="s">
        <v>16</v>
      </c>
    </row>
    <row r="14" spans="1:3" x14ac:dyDescent="0.3">
      <c r="A14" s="7" t="s">
        <v>17</v>
      </c>
    </row>
    <row r="15" spans="1:3" x14ac:dyDescent="0.3">
      <c r="A15" s="7" t="s">
        <v>18</v>
      </c>
    </row>
    <row r="16" spans="1:3" x14ac:dyDescent="0.3">
      <c r="A16" s="7" t="s">
        <v>19</v>
      </c>
    </row>
    <row r="17" spans="1:3" x14ac:dyDescent="0.3">
      <c r="A17" s="7" t="s">
        <v>20</v>
      </c>
    </row>
    <row r="18" spans="1:3" x14ac:dyDescent="0.3">
      <c r="A18" s="7" t="s">
        <v>21</v>
      </c>
    </row>
    <row r="20" spans="1:3" x14ac:dyDescent="0.3">
      <c r="A20" s="3" t="s">
        <v>22</v>
      </c>
      <c r="B20" s="4"/>
      <c r="C20" s="4"/>
    </row>
    <row r="21" spans="1:3" x14ac:dyDescent="0.3">
      <c r="A21" s="6" t="s">
        <v>23</v>
      </c>
      <c r="B21" s="7" t="s">
        <v>24</v>
      </c>
    </row>
    <row r="22" spans="1:3" x14ac:dyDescent="0.3">
      <c r="A22" s="8" t="s">
        <v>25</v>
      </c>
      <c r="B22" s="7" t="s">
        <v>26</v>
      </c>
    </row>
    <row r="23" spans="1:3" x14ac:dyDescent="0.3">
      <c r="A23" s="9" t="s">
        <v>27</v>
      </c>
      <c r="B23" s="7" t="s">
        <v>28</v>
      </c>
    </row>
    <row r="25" spans="1:3" x14ac:dyDescent="0.3">
      <c r="A25" s="3" t="s">
        <v>29</v>
      </c>
      <c r="B25" s="4"/>
      <c r="C25" s="4"/>
    </row>
    <row r="26" spans="1:3" x14ac:dyDescent="0.3">
      <c r="A26" s="5" t="s">
        <v>30</v>
      </c>
      <c r="B26" s="7" t="s">
        <v>31</v>
      </c>
    </row>
    <row r="27" spans="1:3" x14ac:dyDescent="0.3">
      <c r="A27" s="5" t="s">
        <v>32</v>
      </c>
      <c r="B27" s="7" t="s">
        <v>33</v>
      </c>
    </row>
    <row r="28" spans="1:3" x14ac:dyDescent="0.3">
      <c r="A28" s="5" t="s">
        <v>34</v>
      </c>
      <c r="B28" s="7" t="s">
        <v>35</v>
      </c>
    </row>
    <row r="29" spans="1:3" x14ac:dyDescent="0.3">
      <c r="A29" s="5" t="s">
        <v>36</v>
      </c>
      <c r="B29" s="7" t="s">
        <v>37</v>
      </c>
    </row>
    <row r="30" spans="1:3" x14ac:dyDescent="0.3">
      <c r="A30" s="5" t="s">
        <v>38</v>
      </c>
      <c r="B30" s="7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zoomScaleNormal="100" workbookViewId="0"/>
  </sheetViews>
  <sheetFormatPr defaultColWidth="8.6640625" defaultRowHeight="14.4" x14ac:dyDescent="0.3"/>
  <cols>
    <col min="1" max="1" width="12" customWidth="1"/>
    <col min="2" max="2" width="22" customWidth="1"/>
    <col min="3" max="4" width="20" customWidth="1"/>
  </cols>
  <sheetData>
    <row r="1" spans="1:4" ht="17.399999999999999" x14ac:dyDescent="0.3">
      <c r="A1" s="1" t="s">
        <v>40</v>
      </c>
    </row>
    <row r="2" spans="1:4" x14ac:dyDescent="0.3">
      <c r="A2" s="2" t="s">
        <v>41</v>
      </c>
    </row>
    <row r="4" spans="1:4" ht="31.5" customHeight="1" x14ac:dyDescent="0.3">
      <c r="A4" s="10" t="s">
        <v>42</v>
      </c>
      <c r="B4" s="10" t="s">
        <v>43</v>
      </c>
      <c r="C4" s="10" t="s">
        <v>44</v>
      </c>
      <c r="D4" s="10" t="s">
        <v>45</v>
      </c>
    </row>
    <row r="5" spans="1:4" x14ac:dyDescent="0.3">
      <c r="A5" s="11">
        <v>1</v>
      </c>
      <c r="B5" s="11" t="s">
        <v>46</v>
      </c>
      <c r="C5" s="11" t="s">
        <v>47</v>
      </c>
      <c r="D5" s="11" t="s">
        <v>48</v>
      </c>
    </row>
    <row r="6" spans="1:4" x14ac:dyDescent="0.3">
      <c r="A6" s="11">
        <v>2</v>
      </c>
      <c r="B6" s="11" t="s">
        <v>49</v>
      </c>
      <c r="C6" s="11" t="s">
        <v>50</v>
      </c>
      <c r="D6" s="11" t="s">
        <v>51</v>
      </c>
    </row>
    <row r="7" spans="1:4" x14ac:dyDescent="0.3">
      <c r="A7" s="11">
        <v>3</v>
      </c>
      <c r="B7" s="11" t="s">
        <v>52</v>
      </c>
      <c r="C7" s="11" t="s">
        <v>53</v>
      </c>
      <c r="D7" s="11" t="s">
        <v>54</v>
      </c>
    </row>
    <row r="8" spans="1:4" x14ac:dyDescent="0.3">
      <c r="A8" s="11">
        <v>4</v>
      </c>
      <c r="B8" s="11" t="s">
        <v>55</v>
      </c>
      <c r="C8" s="11" t="s">
        <v>56</v>
      </c>
      <c r="D8" s="11" t="s">
        <v>57</v>
      </c>
    </row>
    <row r="9" spans="1:4" x14ac:dyDescent="0.3">
      <c r="A9" s="11">
        <v>5</v>
      </c>
      <c r="B9" s="11" t="s">
        <v>58</v>
      </c>
      <c r="C9" s="11" t="s">
        <v>59</v>
      </c>
      <c r="D9" s="11" t="s">
        <v>60</v>
      </c>
    </row>
    <row r="10" spans="1:4" x14ac:dyDescent="0.3">
      <c r="A10" s="11">
        <v>6</v>
      </c>
      <c r="B10" s="11" t="s">
        <v>61</v>
      </c>
      <c r="C10" s="11" t="s">
        <v>62</v>
      </c>
      <c r="D10" s="11" t="s">
        <v>63</v>
      </c>
    </row>
    <row r="11" spans="1:4" x14ac:dyDescent="0.3">
      <c r="A11" s="11">
        <v>7</v>
      </c>
      <c r="B11" s="11" t="s">
        <v>64</v>
      </c>
      <c r="C11" s="11" t="s">
        <v>65</v>
      </c>
      <c r="D11" s="11" t="s">
        <v>66</v>
      </c>
    </row>
    <row r="12" spans="1:4" x14ac:dyDescent="0.3">
      <c r="A12" s="11">
        <v>8</v>
      </c>
      <c r="B12" s="11" t="s">
        <v>67</v>
      </c>
      <c r="C12" s="11" t="s">
        <v>68</v>
      </c>
      <c r="D12" s="11" t="s">
        <v>69</v>
      </c>
    </row>
    <row r="13" spans="1:4" x14ac:dyDescent="0.3">
      <c r="A13" s="11">
        <v>9</v>
      </c>
      <c r="B13" s="11" t="s">
        <v>70</v>
      </c>
      <c r="C13" s="11" t="s">
        <v>71</v>
      </c>
      <c r="D13" s="11" t="s">
        <v>72</v>
      </c>
    </row>
    <row r="14" spans="1:4" x14ac:dyDescent="0.3">
      <c r="A14" s="11">
        <v>10</v>
      </c>
      <c r="B14" s="11" t="s">
        <v>73</v>
      </c>
      <c r="C14" s="11" t="s">
        <v>74</v>
      </c>
      <c r="D14" s="11" t="s">
        <v>75</v>
      </c>
    </row>
    <row r="15" spans="1:4" x14ac:dyDescent="0.3">
      <c r="A15" s="11">
        <v>11</v>
      </c>
      <c r="B15" s="11" t="s">
        <v>76</v>
      </c>
      <c r="C15" s="11" t="s">
        <v>77</v>
      </c>
      <c r="D15" s="11" t="s">
        <v>78</v>
      </c>
    </row>
    <row r="16" spans="1:4" x14ac:dyDescent="0.3">
      <c r="A16" s="11">
        <v>12</v>
      </c>
      <c r="B16" s="11" t="s">
        <v>79</v>
      </c>
      <c r="C16" s="11" t="s">
        <v>80</v>
      </c>
      <c r="D16" s="11" t="s">
        <v>81</v>
      </c>
    </row>
    <row r="17" spans="1:4" x14ac:dyDescent="0.3">
      <c r="A17" s="11">
        <v>13</v>
      </c>
      <c r="B17" s="11" t="s">
        <v>82</v>
      </c>
      <c r="C17" s="11" t="s">
        <v>83</v>
      </c>
      <c r="D17" s="11" t="s">
        <v>84</v>
      </c>
    </row>
    <row r="18" spans="1:4" x14ac:dyDescent="0.3">
      <c r="A18" s="11">
        <v>14</v>
      </c>
      <c r="B18" s="11" t="s">
        <v>85</v>
      </c>
      <c r="C18" s="11" t="s">
        <v>86</v>
      </c>
      <c r="D18" s="11" t="s">
        <v>87</v>
      </c>
    </row>
    <row r="19" spans="1:4" x14ac:dyDescent="0.3">
      <c r="A19" s="11">
        <v>15</v>
      </c>
      <c r="B19" s="11" t="s">
        <v>88</v>
      </c>
      <c r="C19" s="11" t="s">
        <v>89</v>
      </c>
      <c r="D19" s="11" t="s">
        <v>90</v>
      </c>
    </row>
    <row r="20" spans="1:4" x14ac:dyDescent="0.3">
      <c r="A20" s="11">
        <v>16</v>
      </c>
      <c r="B20" s="11" t="s">
        <v>91</v>
      </c>
      <c r="C20" s="11" t="s">
        <v>92</v>
      </c>
      <c r="D20" s="11" t="s">
        <v>93</v>
      </c>
    </row>
    <row r="21" spans="1:4" x14ac:dyDescent="0.3">
      <c r="A21" s="11">
        <v>17</v>
      </c>
      <c r="B21" s="11" t="s">
        <v>94</v>
      </c>
      <c r="C21" s="11" t="s">
        <v>95</v>
      </c>
      <c r="D21" s="11" t="s">
        <v>96</v>
      </c>
    </row>
    <row r="22" spans="1:4" x14ac:dyDescent="0.3">
      <c r="A22" s="11">
        <v>18</v>
      </c>
      <c r="B22" s="11" t="s">
        <v>97</v>
      </c>
      <c r="C22" s="11" t="s">
        <v>98</v>
      </c>
      <c r="D22" s="11" t="s">
        <v>99</v>
      </c>
    </row>
    <row r="23" spans="1:4" x14ac:dyDescent="0.3">
      <c r="A23" s="11">
        <v>19</v>
      </c>
      <c r="B23" s="11" t="s">
        <v>100</v>
      </c>
      <c r="C23" s="11" t="s">
        <v>101</v>
      </c>
      <c r="D23" s="11" t="s">
        <v>102</v>
      </c>
    </row>
    <row r="24" spans="1:4" x14ac:dyDescent="0.3">
      <c r="A24" s="11">
        <v>20</v>
      </c>
      <c r="B24" s="11" t="s">
        <v>103</v>
      </c>
      <c r="C24" s="11" t="s">
        <v>104</v>
      </c>
      <c r="D24" s="11" t="s">
        <v>105</v>
      </c>
    </row>
    <row r="25" spans="1:4" x14ac:dyDescent="0.3">
      <c r="A25" s="8" t="s">
        <v>106</v>
      </c>
      <c r="B25" s="8" t="s">
        <v>107</v>
      </c>
    </row>
    <row r="27" spans="1:4" x14ac:dyDescent="0.3">
      <c r="A27" s="3" t="s">
        <v>108</v>
      </c>
      <c r="B27" s="4"/>
      <c r="C27" s="4"/>
      <c r="D27" s="4"/>
    </row>
    <row r="28" spans="1:4" ht="31.5" customHeight="1" x14ac:dyDescent="0.3">
      <c r="A28" s="10" t="s">
        <v>109</v>
      </c>
      <c r="B28" s="10" t="s">
        <v>110</v>
      </c>
      <c r="C28" s="10" t="s">
        <v>111</v>
      </c>
    </row>
    <row r="29" spans="1:4" x14ac:dyDescent="0.3">
      <c r="A29" s="11" t="s">
        <v>112</v>
      </c>
      <c r="B29" s="11" t="s">
        <v>113</v>
      </c>
      <c r="C29" s="11" t="s">
        <v>114</v>
      </c>
    </row>
    <row r="30" spans="1:4" x14ac:dyDescent="0.3">
      <c r="A30" s="11" t="s">
        <v>115</v>
      </c>
      <c r="B30" s="11" t="s">
        <v>116</v>
      </c>
      <c r="C30" s="11" t="s">
        <v>117</v>
      </c>
    </row>
    <row r="31" spans="1:4" x14ac:dyDescent="0.3">
      <c r="A31" s="11" t="s">
        <v>118</v>
      </c>
      <c r="B31" s="11" t="s">
        <v>119</v>
      </c>
      <c r="C31" s="11" t="s">
        <v>120</v>
      </c>
    </row>
    <row r="32" spans="1:4" x14ac:dyDescent="0.3">
      <c r="A32" s="11" t="s">
        <v>121</v>
      </c>
      <c r="B32" s="11" t="s">
        <v>122</v>
      </c>
      <c r="C32" s="11" t="s">
        <v>123</v>
      </c>
    </row>
    <row r="33" spans="1:3" x14ac:dyDescent="0.3">
      <c r="A33" s="11" t="s">
        <v>124</v>
      </c>
      <c r="B33" s="11" t="s">
        <v>125</v>
      </c>
      <c r="C33" s="11" t="s">
        <v>126</v>
      </c>
    </row>
    <row r="34" spans="1:3" x14ac:dyDescent="0.3">
      <c r="A34" s="11" t="s">
        <v>127</v>
      </c>
      <c r="B34" s="11" t="s">
        <v>128</v>
      </c>
      <c r="C34" s="11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4"/>
  <sheetViews>
    <sheetView tabSelected="1" zoomScaleNormal="100" workbookViewId="0">
      <pane ySplit="3" topLeftCell="A4" activePane="bottomLeft" state="frozen"/>
      <selection pane="bottomLeft" activeCell="I84" sqref="I84"/>
    </sheetView>
  </sheetViews>
  <sheetFormatPr defaultColWidth="8.6640625" defaultRowHeight="14.4" x14ac:dyDescent="0.3"/>
  <cols>
    <col min="1" max="1" width="8" customWidth="1"/>
    <col min="2" max="2" width="9" customWidth="1"/>
    <col min="3" max="3" width="13" customWidth="1"/>
    <col min="4" max="4" width="10" customWidth="1"/>
    <col min="5" max="5" width="9" customWidth="1"/>
    <col min="6" max="7" width="18" customWidth="1"/>
    <col min="8" max="8" width="22" customWidth="1"/>
    <col min="9" max="9" width="20" customWidth="1"/>
    <col min="10" max="10" width="10" customWidth="1"/>
    <col min="11" max="11" width="19" customWidth="1"/>
    <col min="12" max="12" width="12" customWidth="1"/>
    <col min="13" max="13" width="14" customWidth="1"/>
    <col min="14" max="14" width="28" customWidth="1"/>
  </cols>
  <sheetData>
    <row r="1" spans="1:14" ht="17.399999999999999" x14ac:dyDescent="0.3">
      <c r="A1" s="1" t="s">
        <v>130</v>
      </c>
    </row>
    <row r="2" spans="1:14" x14ac:dyDescent="0.3">
      <c r="A2" s="2" t="s">
        <v>131</v>
      </c>
    </row>
    <row r="3" spans="1:14" ht="31.5" customHeight="1" x14ac:dyDescent="0.3">
      <c r="A3" s="10" t="s">
        <v>132</v>
      </c>
      <c r="B3" s="10" t="s">
        <v>133</v>
      </c>
      <c r="C3" s="10" t="s">
        <v>134</v>
      </c>
      <c r="D3" s="10" t="s">
        <v>135</v>
      </c>
      <c r="E3" s="10" t="s">
        <v>136</v>
      </c>
      <c r="F3" s="10" t="s">
        <v>137</v>
      </c>
      <c r="G3" s="10" t="s">
        <v>138</v>
      </c>
      <c r="H3" s="10" t="s">
        <v>139</v>
      </c>
      <c r="I3" s="10" t="s">
        <v>140</v>
      </c>
      <c r="J3" s="10" t="s">
        <v>141</v>
      </c>
      <c r="K3" s="10" t="s">
        <v>142</v>
      </c>
      <c r="L3" s="10" t="s">
        <v>143</v>
      </c>
      <c r="M3" s="10" t="s">
        <v>144</v>
      </c>
      <c r="N3" s="10" t="s">
        <v>145</v>
      </c>
    </row>
    <row r="4" spans="1:14" x14ac:dyDescent="0.3">
      <c r="A4" s="9" t="s">
        <v>146</v>
      </c>
      <c r="B4" s="9" t="s">
        <v>147</v>
      </c>
      <c r="C4" s="9" t="s">
        <v>148</v>
      </c>
      <c r="D4" s="9" t="s">
        <v>110</v>
      </c>
      <c r="E4" s="9">
        <v>1</v>
      </c>
      <c r="F4" s="9" t="s">
        <v>46</v>
      </c>
      <c r="G4" s="9" t="s">
        <v>47</v>
      </c>
      <c r="H4" s="9" t="s">
        <v>47</v>
      </c>
      <c r="I4" s="9" t="s">
        <v>46</v>
      </c>
      <c r="J4" s="9" t="str">
        <f t="shared" ref="J4:J35" si="0">IF(I4="","",IF(TRIM(F4)=TRIM(I4),"Yes","No"))</f>
        <v>Yes</v>
      </c>
      <c r="K4" s="9" t="s">
        <v>149</v>
      </c>
      <c r="L4" s="9">
        <v>1.8</v>
      </c>
      <c r="M4" s="9" t="s">
        <v>112</v>
      </c>
      <c r="N4" s="9" t="s">
        <v>150</v>
      </c>
    </row>
    <row r="5" spans="1:14" x14ac:dyDescent="0.3">
      <c r="A5" s="8" t="s">
        <v>151</v>
      </c>
      <c r="B5" s="6" t="s">
        <v>147</v>
      </c>
      <c r="C5" s="6" t="s">
        <v>148</v>
      </c>
      <c r="D5" s="8" t="s">
        <v>110</v>
      </c>
      <c r="E5" s="8">
        <v>1</v>
      </c>
      <c r="F5" s="8" t="s">
        <v>46</v>
      </c>
      <c r="G5" s="8" t="s">
        <v>47</v>
      </c>
      <c r="H5" s="6" t="s">
        <v>47</v>
      </c>
      <c r="I5" s="6" t="s">
        <v>46</v>
      </c>
      <c r="J5" s="12" t="str">
        <f t="shared" si="0"/>
        <v>Yes</v>
      </c>
      <c r="K5" s="6" t="s">
        <v>149</v>
      </c>
      <c r="L5" s="13">
        <v>2.1</v>
      </c>
      <c r="M5" s="6" t="s">
        <v>112</v>
      </c>
      <c r="N5" s="6"/>
    </row>
    <row r="6" spans="1:14" x14ac:dyDescent="0.3">
      <c r="A6" s="8" t="s">
        <v>152</v>
      </c>
      <c r="B6" s="6" t="s">
        <v>147</v>
      </c>
      <c r="C6" s="6" t="s">
        <v>148</v>
      </c>
      <c r="D6" s="8" t="s">
        <v>110</v>
      </c>
      <c r="E6" s="8">
        <v>2</v>
      </c>
      <c r="F6" s="8" t="s">
        <v>49</v>
      </c>
      <c r="G6" s="8" t="s">
        <v>50</v>
      </c>
      <c r="H6" s="6" t="s">
        <v>50</v>
      </c>
      <c r="I6" s="6" t="s">
        <v>50</v>
      </c>
      <c r="J6" s="12" t="str">
        <f t="shared" si="0"/>
        <v>Yes</v>
      </c>
      <c r="K6" s="6"/>
      <c r="L6" s="13">
        <v>4.17</v>
      </c>
      <c r="M6" s="6"/>
      <c r="N6" s="6"/>
    </row>
    <row r="7" spans="1:14" x14ac:dyDescent="0.3">
      <c r="A7" s="8" t="s">
        <v>153</v>
      </c>
      <c r="B7" s="6" t="s">
        <v>147</v>
      </c>
      <c r="C7" s="6" t="s">
        <v>148</v>
      </c>
      <c r="D7" s="8" t="s">
        <v>110</v>
      </c>
      <c r="E7" s="8">
        <v>3</v>
      </c>
      <c r="F7" s="8" t="s">
        <v>52</v>
      </c>
      <c r="G7" s="8" t="s">
        <v>53</v>
      </c>
      <c r="H7" s="6" t="s">
        <v>53</v>
      </c>
      <c r="I7" s="6" t="s">
        <v>53</v>
      </c>
      <c r="J7" s="12" t="str">
        <f t="shared" si="0"/>
        <v>Yes</v>
      </c>
      <c r="K7" s="6"/>
      <c r="L7" s="13">
        <v>4.8</v>
      </c>
      <c r="M7" s="6"/>
      <c r="N7" s="6"/>
    </row>
    <row r="8" spans="1:14" x14ac:dyDescent="0.3">
      <c r="A8" s="8" t="s">
        <v>154</v>
      </c>
      <c r="B8" s="6" t="s">
        <v>147</v>
      </c>
      <c r="C8" s="6" t="s">
        <v>148</v>
      </c>
      <c r="D8" s="8" t="s">
        <v>110</v>
      </c>
      <c r="E8" s="8">
        <v>4</v>
      </c>
      <c r="F8" s="8" t="s">
        <v>55</v>
      </c>
      <c r="G8" s="8" t="s">
        <v>56</v>
      </c>
      <c r="H8" s="6" t="s">
        <v>56</v>
      </c>
      <c r="I8" s="6" t="s">
        <v>56</v>
      </c>
      <c r="J8" s="12" t="str">
        <f t="shared" si="0"/>
        <v>Yes</v>
      </c>
      <c r="K8" s="6"/>
      <c r="L8" s="13">
        <v>3.55</v>
      </c>
      <c r="M8" s="6"/>
      <c r="N8" s="6"/>
    </row>
    <row r="9" spans="1:14" x14ac:dyDescent="0.3">
      <c r="A9" s="8" t="s">
        <v>155</v>
      </c>
      <c r="B9" s="6" t="s">
        <v>147</v>
      </c>
      <c r="C9" s="6" t="s">
        <v>148</v>
      </c>
      <c r="D9" s="8" t="s">
        <v>110</v>
      </c>
      <c r="E9" s="8">
        <v>5</v>
      </c>
      <c r="F9" s="8" t="s">
        <v>58</v>
      </c>
      <c r="G9" s="8" t="s">
        <v>59</v>
      </c>
      <c r="H9" s="6" t="s">
        <v>59</v>
      </c>
      <c r="I9" s="6" t="s">
        <v>59</v>
      </c>
      <c r="J9" s="12" t="str">
        <f t="shared" si="0"/>
        <v>Yes</v>
      </c>
      <c r="K9" s="6"/>
      <c r="L9" s="13">
        <v>4.4000000000000004</v>
      </c>
      <c r="M9" s="6"/>
      <c r="N9" s="6"/>
    </row>
    <row r="10" spans="1:14" x14ac:dyDescent="0.3">
      <c r="A10" s="8" t="s">
        <v>156</v>
      </c>
      <c r="B10" s="6" t="s">
        <v>147</v>
      </c>
      <c r="C10" s="6" t="s">
        <v>148</v>
      </c>
      <c r="D10" s="8" t="s">
        <v>110</v>
      </c>
      <c r="E10" s="8">
        <v>6</v>
      </c>
      <c r="F10" s="8" t="s">
        <v>61</v>
      </c>
      <c r="G10" s="8" t="s">
        <v>62</v>
      </c>
      <c r="H10" s="6" t="s">
        <v>62</v>
      </c>
      <c r="I10" s="6" t="s">
        <v>107</v>
      </c>
      <c r="J10" s="12" t="str">
        <f t="shared" si="0"/>
        <v>No</v>
      </c>
      <c r="K10" s="6" t="s">
        <v>36</v>
      </c>
      <c r="L10" s="13">
        <v>4.3</v>
      </c>
      <c r="M10" s="6" t="s">
        <v>116</v>
      </c>
      <c r="N10" s="6"/>
    </row>
    <row r="11" spans="1:14" x14ac:dyDescent="0.3">
      <c r="A11" s="8" t="s">
        <v>157</v>
      </c>
      <c r="B11" s="6" t="s">
        <v>147</v>
      </c>
      <c r="C11" s="6" t="s">
        <v>148</v>
      </c>
      <c r="D11" s="8" t="s">
        <v>110</v>
      </c>
      <c r="E11" s="8">
        <v>7</v>
      </c>
      <c r="F11" s="8" t="s">
        <v>64</v>
      </c>
      <c r="G11" s="8" t="s">
        <v>65</v>
      </c>
      <c r="H11" s="6" t="s">
        <v>65</v>
      </c>
      <c r="I11" s="6" t="s">
        <v>65</v>
      </c>
      <c r="J11" s="12" t="str">
        <f t="shared" si="0"/>
        <v>Yes</v>
      </c>
      <c r="K11" s="6"/>
      <c r="L11" s="13">
        <v>5.3</v>
      </c>
      <c r="M11" s="6"/>
      <c r="N11" s="6"/>
    </row>
    <row r="12" spans="1:14" x14ac:dyDescent="0.3">
      <c r="A12" s="8" t="s">
        <v>158</v>
      </c>
      <c r="B12" s="6" t="s">
        <v>147</v>
      </c>
      <c r="C12" s="6" t="s">
        <v>148</v>
      </c>
      <c r="D12" s="8" t="s">
        <v>110</v>
      </c>
      <c r="E12" s="8">
        <v>8</v>
      </c>
      <c r="F12" s="8" t="s">
        <v>67</v>
      </c>
      <c r="G12" s="8" t="s">
        <v>68</v>
      </c>
      <c r="H12" s="6" t="s">
        <v>68</v>
      </c>
      <c r="I12" s="6" t="s">
        <v>67</v>
      </c>
      <c r="J12" s="12" t="str">
        <f t="shared" si="0"/>
        <v>Yes</v>
      </c>
      <c r="K12" s="6"/>
      <c r="L12" s="13">
        <v>4.2</v>
      </c>
      <c r="M12" s="6"/>
      <c r="N12" s="6"/>
    </row>
    <row r="13" spans="1:14" x14ac:dyDescent="0.3">
      <c r="A13" s="8" t="s">
        <v>159</v>
      </c>
      <c r="B13" s="6" t="s">
        <v>147</v>
      </c>
      <c r="C13" s="6" t="s">
        <v>148</v>
      </c>
      <c r="D13" s="8" t="s">
        <v>110</v>
      </c>
      <c r="E13" s="8">
        <v>9</v>
      </c>
      <c r="F13" s="8" t="s">
        <v>70</v>
      </c>
      <c r="G13" s="8" t="s">
        <v>71</v>
      </c>
      <c r="H13" s="6" t="s">
        <v>71</v>
      </c>
      <c r="I13" s="6" t="s">
        <v>70</v>
      </c>
      <c r="J13" s="12" t="str">
        <f t="shared" si="0"/>
        <v>Yes</v>
      </c>
      <c r="K13" s="6"/>
      <c r="L13" s="13">
        <v>4.4000000000000004</v>
      </c>
      <c r="M13" s="6"/>
      <c r="N13" s="6"/>
    </row>
    <row r="14" spans="1:14" x14ac:dyDescent="0.3">
      <c r="A14" s="8" t="s">
        <v>160</v>
      </c>
      <c r="B14" s="6" t="s">
        <v>147</v>
      </c>
      <c r="C14" s="6" t="s">
        <v>148</v>
      </c>
      <c r="D14" s="8" t="s">
        <v>110</v>
      </c>
      <c r="E14" s="8">
        <v>10</v>
      </c>
      <c r="F14" s="8" t="s">
        <v>73</v>
      </c>
      <c r="G14" s="8" t="s">
        <v>74</v>
      </c>
      <c r="H14" s="6" t="s">
        <v>74</v>
      </c>
      <c r="I14" s="6" t="s">
        <v>73</v>
      </c>
      <c r="J14" s="12" t="str">
        <f t="shared" si="0"/>
        <v>Yes</v>
      </c>
      <c r="K14" s="6"/>
      <c r="L14" s="13">
        <v>3.4</v>
      </c>
      <c r="M14" s="6"/>
      <c r="N14" s="6"/>
    </row>
    <row r="15" spans="1:14" x14ac:dyDescent="0.3">
      <c r="A15" s="8" t="s">
        <v>161</v>
      </c>
      <c r="B15" s="6" t="s">
        <v>147</v>
      </c>
      <c r="C15" s="6" t="s">
        <v>148</v>
      </c>
      <c r="D15" s="8" t="s">
        <v>110</v>
      </c>
      <c r="E15" s="8">
        <v>11</v>
      </c>
      <c r="F15" s="8" t="s">
        <v>76</v>
      </c>
      <c r="G15" s="8" t="s">
        <v>77</v>
      </c>
      <c r="H15" s="6" t="s">
        <v>77</v>
      </c>
      <c r="I15" s="6" t="s">
        <v>76</v>
      </c>
      <c r="J15" s="12" t="str">
        <f t="shared" si="0"/>
        <v>Yes</v>
      </c>
      <c r="K15" s="6"/>
      <c r="L15" s="13">
        <v>3.6</v>
      </c>
      <c r="M15" s="6"/>
      <c r="N15" s="6"/>
    </row>
    <row r="16" spans="1:14" x14ac:dyDescent="0.3">
      <c r="A16" s="8" t="s">
        <v>162</v>
      </c>
      <c r="B16" s="6" t="s">
        <v>147</v>
      </c>
      <c r="C16" s="6" t="s">
        <v>148</v>
      </c>
      <c r="D16" s="8" t="s">
        <v>110</v>
      </c>
      <c r="E16" s="8">
        <v>12</v>
      </c>
      <c r="F16" s="8" t="s">
        <v>79</v>
      </c>
      <c r="G16" s="8" t="s">
        <v>80</v>
      </c>
      <c r="H16" s="6" t="s">
        <v>80</v>
      </c>
      <c r="I16" s="6" t="s">
        <v>79</v>
      </c>
      <c r="J16" s="12" t="str">
        <f t="shared" si="0"/>
        <v>Yes</v>
      </c>
      <c r="K16" s="6"/>
      <c r="L16" s="13">
        <v>3.7</v>
      </c>
      <c r="M16" s="6"/>
      <c r="N16" s="6"/>
    </row>
    <row r="17" spans="1:14" x14ac:dyDescent="0.3">
      <c r="A17" s="8" t="s">
        <v>163</v>
      </c>
      <c r="B17" s="6" t="s">
        <v>147</v>
      </c>
      <c r="C17" s="6" t="s">
        <v>148</v>
      </c>
      <c r="D17" s="8" t="s">
        <v>110</v>
      </c>
      <c r="E17" s="8">
        <v>13</v>
      </c>
      <c r="F17" s="8" t="s">
        <v>82</v>
      </c>
      <c r="G17" s="8" t="s">
        <v>83</v>
      </c>
      <c r="H17" s="6" t="s">
        <v>83</v>
      </c>
      <c r="I17" s="6" t="s">
        <v>82</v>
      </c>
      <c r="J17" s="12" t="str">
        <f t="shared" si="0"/>
        <v>Yes</v>
      </c>
      <c r="K17" s="6"/>
      <c r="L17" s="13">
        <v>4.5</v>
      </c>
      <c r="M17" s="6"/>
      <c r="N17" s="6"/>
    </row>
    <row r="18" spans="1:14" x14ac:dyDescent="0.3">
      <c r="A18" s="8" t="s">
        <v>164</v>
      </c>
      <c r="B18" s="6" t="s">
        <v>147</v>
      </c>
      <c r="C18" s="6" t="s">
        <v>148</v>
      </c>
      <c r="D18" s="8" t="s">
        <v>110</v>
      </c>
      <c r="E18" s="8">
        <v>14</v>
      </c>
      <c r="F18" s="8" t="s">
        <v>85</v>
      </c>
      <c r="G18" s="8" t="s">
        <v>86</v>
      </c>
      <c r="H18" s="6" t="s">
        <v>86</v>
      </c>
      <c r="I18" s="6" t="s">
        <v>85</v>
      </c>
      <c r="J18" s="12" t="str">
        <f t="shared" si="0"/>
        <v>Yes</v>
      </c>
      <c r="K18" s="6"/>
      <c r="L18" s="13">
        <v>6.2</v>
      </c>
      <c r="M18" s="6"/>
      <c r="N18" s="6" t="s">
        <v>385</v>
      </c>
    </row>
    <row r="19" spans="1:14" x14ac:dyDescent="0.3">
      <c r="A19" s="8" t="s">
        <v>165</v>
      </c>
      <c r="B19" s="6" t="s">
        <v>147</v>
      </c>
      <c r="C19" s="6" t="s">
        <v>148</v>
      </c>
      <c r="D19" s="8" t="s">
        <v>110</v>
      </c>
      <c r="E19" s="8">
        <v>15</v>
      </c>
      <c r="F19" s="8" t="s">
        <v>88</v>
      </c>
      <c r="G19" s="8" t="s">
        <v>89</v>
      </c>
      <c r="H19" s="6" t="s">
        <v>89</v>
      </c>
      <c r="I19" s="6" t="s">
        <v>88</v>
      </c>
      <c r="J19" s="12" t="str">
        <f t="shared" si="0"/>
        <v>Yes</v>
      </c>
      <c r="K19" s="6"/>
      <c r="L19" s="13">
        <v>3.4</v>
      </c>
      <c r="M19" s="6"/>
      <c r="N19" s="6"/>
    </row>
    <row r="20" spans="1:14" x14ac:dyDescent="0.3">
      <c r="A20" s="8" t="s">
        <v>166</v>
      </c>
      <c r="B20" s="6" t="s">
        <v>147</v>
      </c>
      <c r="C20" s="6" t="s">
        <v>148</v>
      </c>
      <c r="D20" s="8" t="s">
        <v>110</v>
      </c>
      <c r="E20" s="8">
        <v>16</v>
      </c>
      <c r="F20" s="8" t="s">
        <v>91</v>
      </c>
      <c r="G20" s="8" t="s">
        <v>92</v>
      </c>
      <c r="H20" s="6" t="s">
        <v>92</v>
      </c>
      <c r="I20" s="6" t="s">
        <v>91</v>
      </c>
      <c r="J20" s="12" t="str">
        <f t="shared" si="0"/>
        <v>Yes</v>
      </c>
      <c r="K20" s="6"/>
      <c r="L20" s="13">
        <v>3.1</v>
      </c>
      <c r="M20" s="6"/>
      <c r="N20" s="6"/>
    </row>
    <row r="21" spans="1:14" x14ac:dyDescent="0.3">
      <c r="A21" s="8" t="s">
        <v>167</v>
      </c>
      <c r="B21" s="6" t="s">
        <v>147</v>
      </c>
      <c r="C21" s="6" t="s">
        <v>148</v>
      </c>
      <c r="D21" s="8" t="s">
        <v>110</v>
      </c>
      <c r="E21" s="8">
        <v>17</v>
      </c>
      <c r="F21" s="8" t="s">
        <v>94</v>
      </c>
      <c r="G21" s="8" t="s">
        <v>95</v>
      </c>
      <c r="H21" s="6" t="s">
        <v>95</v>
      </c>
      <c r="I21" s="6" t="s">
        <v>107</v>
      </c>
      <c r="J21" s="12" t="str">
        <f t="shared" si="0"/>
        <v>No</v>
      </c>
      <c r="K21" s="6" t="s">
        <v>36</v>
      </c>
      <c r="L21" s="13">
        <v>5.3</v>
      </c>
      <c r="M21" s="6" t="s">
        <v>116</v>
      </c>
      <c r="N21" s="6"/>
    </row>
    <row r="22" spans="1:14" x14ac:dyDescent="0.3">
      <c r="A22" s="8" t="s">
        <v>168</v>
      </c>
      <c r="B22" s="6" t="s">
        <v>147</v>
      </c>
      <c r="C22" s="6" t="s">
        <v>148</v>
      </c>
      <c r="D22" s="8" t="s">
        <v>110</v>
      </c>
      <c r="E22" s="8">
        <v>18</v>
      </c>
      <c r="F22" s="8" t="s">
        <v>97</v>
      </c>
      <c r="G22" s="8" t="s">
        <v>98</v>
      </c>
      <c r="H22" s="6" t="s">
        <v>98</v>
      </c>
      <c r="I22" s="6" t="s">
        <v>97</v>
      </c>
      <c r="J22" s="12" t="str">
        <f t="shared" si="0"/>
        <v>Yes</v>
      </c>
      <c r="K22" s="6"/>
      <c r="L22" s="13">
        <v>4.5</v>
      </c>
      <c r="M22" s="6"/>
      <c r="N22" s="6"/>
    </row>
    <row r="23" spans="1:14" x14ac:dyDescent="0.3">
      <c r="A23" s="8" t="s">
        <v>169</v>
      </c>
      <c r="B23" s="6" t="s">
        <v>147</v>
      </c>
      <c r="C23" s="6" t="s">
        <v>148</v>
      </c>
      <c r="D23" s="8" t="s">
        <v>110</v>
      </c>
      <c r="E23" s="8">
        <v>19</v>
      </c>
      <c r="F23" s="8" t="s">
        <v>100</v>
      </c>
      <c r="G23" s="8" t="s">
        <v>101</v>
      </c>
      <c r="H23" s="6" t="s">
        <v>101</v>
      </c>
      <c r="I23" s="6" t="s">
        <v>100</v>
      </c>
      <c r="J23" s="12" t="str">
        <f>IF(I23="","",IF(TRIM(F23)=TRIM(I23),"Yes","No"))</f>
        <v>Yes</v>
      </c>
      <c r="K23" s="6"/>
      <c r="L23" s="13">
        <v>5.4</v>
      </c>
      <c r="M23" s="6"/>
      <c r="N23" s="6"/>
    </row>
    <row r="24" spans="1:14" x14ac:dyDescent="0.3">
      <c r="A24" s="8" t="s">
        <v>170</v>
      </c>
      <c r="B24" s="6" t="s">
        <v>147</v>
      </c>
      <c r="C24" s="6" t="s">
        <v>148</v>
      </c>
      <c r="D24" s="8" t="s">
        <v>110</v>
      </c>
      <c r="E24" s="8">
        <v>20</v>
      </c>
      <c r="F24" s="8" t="s">
        <v>103</v>
      </c>
      <c r="G24" s="8" t="s">
        <v>104</v>
      </c>
      <c r="H24" s="6" t="s">
        <v>104</v>
      </c>
      <c r="I24" s="6" t="s">
        <v>103</v>
      </c>
      <c r="J24" s="12" t="str">
        <f t="shared" si="0"/>
        <v>Yes</v>
      </c>
      <c r="K24" s="6"/>
      <c r="L24" s="13">
        <v>5</v>
      </c>
      <c r="M24" s="6"/>
      <c r="N24" s="6"/>
    </row>
    <row r="25" spans="1:14" x14ac:dyDescent="0.3">
      <c r="A25" s="8" t="s">
        <v>171</v>
      </c>
      <c r="B25" s="6" t="s">
        <v>147</v>
      </c>
      <c r="C25" s="6" t="s">
        <v>148</v>
      </c>
      <c r="D25" s="8" t="s">
        <v>111</v>
      </c>
      <c r="E25" s="8">
        <v>1</v>
      </c>
      <c r="F25" s="8" t="s">
        <v>46</v>
      </c>
      <c r="G25" s="8" t="s">
        <v>48</v>
      </c>
      <c r="H25" s="6"/>
      <c r="I25" s="6"/>
      <c r="J25" s="12" t="str">
        <f t="shared" si="0"/>
        <v/>
      </c>
      <c r="K25" s="6"/>
      <c r="L25" s="13"/>
      <c r="M25" s="6"/>
      <c r="N25" s="6"/>
    </row>
    <row r="26" spans="1:14" x14ac:dyDescent="0.3">
      <c r="A26" s="8" t="s">
        <v>172</v>
      </c>
      <c r="B26" s="6" t="s">
        <v>147</v>
      </c>
      <c r="C26" s="6" t="s">
        <v>148</v>
      </c>
      <c r="D26" s="8" t="s">
        <v>111</v>
      </c>
      <c r="E26" s="8">
        <v>2</v>
      </c>
      <c r="F26" s="8" t="s">
        <v>49</v>
      </c>
      <c r="G26" s="8" t="s">
        <v>51</v>
      </c>
      <c r="H26" s="6"/>
      <c r="I26" s="6"/>
      <c r="J26" s="12" t="str">
        <f t="shared" si="0"/>
        <v/>
      </c>
      <c r="K26" s="6"/>
      <c r="L26" s="13"/>
      <c r="M26" s="6"/>
      <c r="N26" s="6"/>
    </row>
    <row r="27" spans="1:14" x14ac:dyDescent="0.3">
      <c r="A27" s="8" t="s">
        <v>173</v>
      </c>
      <c r="B27" s="6" t="s">
        <v>147</v>
      </c>
      <c r="C27" s="6" t="s">
        <v>148</v>
      </c>
      <c r="D27" s="8" t="s">
        <v>111</v>
      </c>
      <c r="E27" s="8">
        <v>3</v>
      </c>
      <c r="F27" s="8" t="s">
        <v>52</v>
      </c>
      <c r="G27" s="8" t="s">
        <v>54</v>
      </c>
      <c r="H27" s="6"/>
      <c r="I27" s="6"/>
      <c r="J27" s="12" t="str">
        <f t="shared" si="0"/>
        <v/>
      </c>
      <c r="K27" s="6"/>
      <c r="L27" s="13"/>
      <c r="M27" s="6"/>
      <c r="N27" s="6"/>
    </row>
    <row r="28" spans="1:14" x14ac:dyDescent="0.3">
      <c r="A28" s="8" t="s">
        <v>174</v>
      </c>
      <c r="B28" s="6" t="s">
        <v>147</v>
      </c>
      <c r="C28" s="6" t="s">
        <v>148</v>
      </c>
      <c r="D28" s="8" t="s">
        <v>111</v>
      </c>
      <c r="E28" s="8">
        <v>4</v>
      </c>
      <c r="F28" s="8" t="s">
        <v>55</v>
      </c>
      <c r="G28" s="8" t="s">
        <v>57</v>
      </c>
      <c r="H28" s="6"/>
      <c r="I28" s="6"/>
      <c r="J28" s="12" t="str">
        <f t="shared" si="0"/>
        <v/>
      </c>
      <c r="K28" s="6"/>
      <c r="L28" s="13"/>
      <c r="M28" s="6"/>
      <c r="N28" s="6"/>
    </row>
    <row r="29" spans="1:14" x14ac:dyDescent="0.3">
      <c r="A29" s="8" t="s">
        <v>175</v>
      </c>
      <c r="B29" s="6" t="s">
        <v>147</v>
      </c>
      <c r="C29" s="6" t="s">
        <v>148</v>
      </c>
      <c r="D29" s="8" t="s">
        <v>111</v>
      </c>
      <c r="E29" s="8">
        <v>5</v>
      </c>
      <c r="F29" s="8" t="s">
        <v>58</v>
      </c>
      <c r="G29" s="8" t="s">
        <v>60</v>
      </c>
      <c r="H29" s="6"/>
      <c r="I29" s="6"/>
      <c r="J29" s="12" t="str">
        <f t="shared" si="0"/>
        <v/>
      </c>
      <c r="K29" s="6"/>
      <c r="L29" s="13"/>
      <c r="M29" s="6"/>
      <c r="N29" s="6"/>
    </row>
    <row r="30" spans="1:14" x14ac:dyDescent="0.3">
      <c r="A30" s="8" t="s">
        <v>176</v>
      </c>
      <c r="B30" s="6" t="s">
        <v>147</v>
      </c>
      <c r="C30" s="6" t="s">
        <v>148</v>
      </c>
      <c r="D30" s="8" t="s">
        <v>111</v>
      </c>
      <c r="E30" s="8">
        <v>6</v>
      </c>
      <c r="F30" s="8" t="s">
        <v>61</v>
      </c>
      <c r="G30" s="8" t="s">
        <v>63</v>
      </c>
      <c r="H30" s="6"/>
      <c r="I30" s="6"/>
      <c r="J30" s="12" t="str">
        <f t="shared" si="0"/>
        <v/>
      </c>
      <c r="K30" s="6"/>
      <c r="L30" s="13"/>
      <c r="M30" s="6"/>
      <c r="N30" s="6"/>
    </row>
    <row r="31" spans="1:14" x14ac:dyDescent="0.3">
      <c r="A31" s="8" t="s">
        <v>177</v>
      </c>
      <c r="B31" s="6" t="s">
        <v>147</v>
      </c>
      <c r="C31" s="6" t="s">
        <v>148</v>
      </c>
      <c r="D31" s="8" t="s">
        <v>111</v>
      </c>
      <c r="E31" s="8">
        <v>7</v>
      </c>
      <c r="F31" s="8" t="s">
        <v>64</v>
      </c>
      <c r="G31" s="8" t="s">
        <v>66</v>
      </c>
      <c r="H31" s="6"/>
      <c r="I31" s="6"/>
      <c r="J31" s="12" t="str">
        <f t="shared" si="0"/>
        <v/>
      </c>
      <c r="K31" s="6"/>
      <c r="L31" s="13"/>
      <c r="M31" s="6"/>
      <c r="N31" s="6"/>
    </row>
    <row r="32" spans="1:14" x14ac:dyDescent="0.3">
      <c r="A32" s="8" t="s">
        <v>178</v>
      </c>
      <c r="B32" s="6" t="s">
        <v>147</v>
      </c>
      <c r="C32" s="6" t="s">
        <v>148</v>
      </c>
      <c r="D32" s="8" t="s">
        <v>111</v>
      </c>
      <c r="E32" s="8">
        <v>8</v>
      </c>
      <c r="F32" s="8" t="s">
        <v>67</v>
      </c>
      <c r="G32" s="8" t="s">
        <v>69</v>
      </c>
      <c r="H32" s="6"/>
      <c r="I32" s="6"/>
      <c r="J32" s="12" t="str">
        <f t="shared" si="0"/>
        <v/>
      </c>
      <c r="K32" s="6"/>
      <c r="L32" s="13"/>
      <c r="M32" s="6"/>
      <c r="N32" s="6"/>
    </row>
    <row r="33" spans="1:14" x14ac:dyDescent="0.3">
      <c r="A33" s="8" t="s">
        <v>179</v>
      </c>
      <c r="B33" s="6" t="s">
        <v>147</v>
      </c>
      <c r="C33" s="6" t="s">
        <v>148</v>
      </c>
      <c r="D33" s="8" t="s">
        <v>111</v>
      </c>
      <c r="E33" s="8">
        <v>9</v>
      </c>
      <c r="F33" s="8" t="s">
        <v>70</v>
      </c>
      <c r="G33" s="8" t="s">
        <v>72</v>
      </c>
      <c r="H33" s="6"/>
      <c r="I33" s="6"/>
      <c r="J33" s="12" t="str">
        <f t="shared" si="0"/>
        <v/>
      </c>
      <c r="K33" s="6"/>
      <c r="L33" s="13"/>
      <c r="M33" s="6"/>
      <c r="N33" s="6"/>
    </row>
    <row r="34" spans="1:14" x14ac:dyDescent="0.3">
      <c r="A34" s="8" t="s">
        <v>180</v>
      </c>
      <c r="B34" s="6" t="s">
        <v>147</v>
      </c>
      <c r="C34" s="6" t="s">
        <v>148</v>
      </c>
      <c r="D34" s="8" t="s">
        <v>111</v>
      </c>
      <c r="E34" s="8">
        <v>10</v>
      </c>
      <c r="F34" s="8" t="s">
        <v>73</v>
      </c>
      <c r="G34" s="8" t="s">
        <v>75</v>
      </c>
      <c r="H34" s="6"/>
      <c r="I34" s="6"/>
      <c r="J34" s="12" t="str">
        <f t="shared" si="0"/>
        <v/>
      </c>
      <c r="K34" s="6"/>
      <c r="L34" s="13"/>
      <c r="M34" s="6"/>
      <c r="N34" s="6"/>
    </row>
    <row r="35" spans="1:14" x14ac:dyDescent="0.3">
      <c r="A35" s="8" t="s">
        <v>181</v>
      </c>
      <c r="B35" s="6" t="s">
        <v>147</v>
      </c>
      <c r="C35" s="6" t="s">
        <v>148</v>
      </c>
      <c r="D35" s="8" t="s">
        <v>111</v>
      </c>
      <c r="E35" s="8">
        <v>11</v>
      </c>
      <c r="F35" s="8" t="s">
        <v>76</v>
      </c>
      <c r="G35" s="8" t="s">
        <v>78</v>
      </c>
      <c r="H35" s="6"/>
      <c r="I35" s="6"/>
      <c r="J35" s="12" t="str">
        <f t="shared" si="0"/>
        <v/>
      </c>
      <c r="K35" s="6"/>
      <c r="L35" s="13"/>
      <c r="M35" s="6"/>
      <c r="N35" s="6"/>
    </row>
    <row r="36" spans="1:14" x14ac:dyDescent="0.3">
      <c r="A36" s="8" t="s">
        <v>182</v>
      </c>
      <c r="B36" s="6" t="s">
        <v>147</v>
      </c>
      <c r="C36" s="6" t="s">
        <v>148</v>
      </c>
      <c r="D36" s="8" t="s">
        <v>111</v>
      </c>
      <c r="E36" s="8">
        <v>12</v>
      </c>
      <c r="F36" s="8" t="s">
        <v>79</v>
      </c>
      <c r="G36" s="8" t="s">
        <v>81</v>
      </c>
      <c r="H36" s="6"/>
      <c r="I36" s="6"/>
      <c r="J36" s="12" t="str">
        <f t="shared" ref="J36:J44" si="1">IF(I36="","",IF(TRIM(F36)=TRIM(I36),"Yes","No"))</f>
        <v/>
      </c>
      <c r="K36" s="6"/>
      <c r="L36" s="13"/>
      <c r="M36" s="6"/>
      <c r="N36" s="6"/>
    </row>
    <row r="37" spans="1:14" x14ac:dyDescent="0.3">
      <c r="A37" s="8" t="s">
        <v>183</v>
      </c>
      <c r="B37" s="6" t="s">
        <v>147</v>
      </c>
      <c r="C37" s="6" t="s">
        <v>148</v>
      </c>
      <c r="D37" s="8" t="s">
        <v>111</v>
      </c>
      <c r="E37" s="8">
        <v>13</v>
      </c>
      <c r="F37" s="8" t="s">
        <v>82</v>
      </c>
      <c r="G37" s="8" t="s">
        <v>84</v>
      </c>
      <c r="H37" s="6"/>
      <c r="I37" s="6"/>
      <c r="J37" s="12" t="str">
        <f t="shared" si="1"/>
        <v/>
      </c>
      <c r="K37" s="6"/>
      <c r="L37" s="13"/>
      <c r="M37" s="6"/>
      <c r="N37" s="6"/>
    </row>
    <row r="38" spans="1:14" x14ac:dyDescent="0.3">
      <c r="A38" s="8" t="s">
        <v>184</v>
      </c>
      <c r="B38" s="6" t="s">
        <v>147</v>
      </c>
      <c r="C38" s="6" t="s">
        <v>148</v>
      </c>
      <c r="D38" s="8" t="s">
        <v>111</v>
      </c>
      <c r="E38" s="8">
        <v>14</v>
      </c>
      <c r="F38" s="8" t="s">
        <v>85</v>
      </c>
      <c r="G38" s="8" t="s">
        <v>87</v>
      </c>
      <c r="H38" s="6"/>
      <c r="I38" s="6"/>
      <c r="J38" s="12" t="str">
        <f t="shared" si="1"/>
        <v/>
      </c>
      <c r="K38" s="6"/>
      <c r="L38" s="13"/>
      <c r="M38" s="6"/>
      <c r="N38" s="6"/>
    </row>
    <row r="39" spans="1:14" x14ac:dyDescent="0.3">
      <c r="A39" s="8" t="s">
        <v>185</v>
      </c>
      <c r="B39" s="6" t="s">
        <v>147</v>
      </c>
      <c r="C39" s="6" t="s">
        <v>148</v>
      </c>
      <c r="D39" s="8" t="s">
        <v>111</v>
      </c>
      <c r="E39" s="8">
        <v>15</v>
      </c>
      <c r="F39" s="8" t="s">
        <v>88</v>
      </c>
      <c r="G39" s="8" t="s">
        <v>90</v>
      </c>
      <c r="H39" s="6"/>
      <c r="I39" s="6"/>
      <c r="J39" s="12" t="str">
        <f t="shared" si="1"/>
        <v/>
      </c>
      <c r="K39" s="6"/>
      <c r="L39" s="13"/>
      <c r="M39" s="6"/>
      <c r="N39" s="6"/>
    </row>
    <row r="40" spans="1:14" x14ac:dyDescent="0.3">
      <c r="A40" s="8" t="s">
        <v>186</v>
      </c>
      <c r="B40" s="6" t="s">
        <v>147</v>
      </c>
      <c r="C40" s="6" t="s">
        <v>148</v>
      </c>
      <c r="D40" s="8" t="s">
        <v>111</v>
      </c>
      <c r="E40" s="8">
        <v>16</v>
      </c>
      <c r="F40" s="8" t="s">
        <v>91</v>
      </c>
      <c r="G40" s="8" t="s">
        <v>93</v>
      </c>
      <c r="H40" s="6"/>
      <c r="I40" s="6"/>
      <c r="J40" s="12" t="str">
        <f t="shared" si="1"/>
        <v/>
      </c>
      <c r="K40" s="6"/>
      <c r="L40" s="13"/>
      <c r="M40" s="6"/>
      <c r="N40" s="6"/>
    </row>
    <row r="41" spans="1:14" x14ac:dyDescent="0.3">
      <c r="A41" s="8" t="s">
        <v>187</v>
      </c>
      <c r="B41" s="6" t="s">
        <v>147</v>
      </c>
      <c r="C41" s="6" t="s">
        <v>148</v>
      </c>
      <c r="D41" s="8" t="s">
        <v>111</v>
      </c>
      <c r="E41" s="8">
        <v>17</v>
      </c>
      <c r="F41" s="8" t="s">
        <v>94</v>
      </c>
      <c r="G41" s="8" t="s">
        <v>96</v>
      </c>
      <c r="H41" s="6"/>
      <c r="I41" s="6"/>
      <c r="J41" s="12" t="str">
        <f t="shared" si="1"/>
        <v/>
      </c>
      <c r="K41" s="6"/>
      <c r="L41" s="13"/>
      <c r="M41" s="6"/>
      <c r="N41" s="6"/>
    </row>
    <row r="42" spans="1:14" x14ac:dyDescent="0.3">
      <c r="A42" s="8" t="s">
        <v>188</v>
      </c>
      <c r="B42" s="6" t="s">
        <v>147</v>
      </c>
      <c r="C42" s="6" t="s">
        <v>148</v>
      </c>
      <c r="D42" s="8" t="s">
        <v>111</v>
      </c>
      <c r="E42" s="8">
        <v>18</v>
      </c>
      <c r="F42" s="8" t="s">
        <v>97</v>
      </c>
      <c r="G42" s="8" t="s">
        <v>99</v>
      </c>
      <c r="H42" s="6"/>
      <c r="I42" s="6"/>
      <c r="J42" s="12" t="str">
        <f t="shared" si="1"/>
        <v/>
      </c>
      <c r="K42" s="6"/>
      <c r="L42" s="13"/>
      <c r="M42" s="6"/>
      <c r="N42" s="6"/>
    </row>
    <row r="43" spans="1:14" x14ac:dyDescent="0.3">
      <c r="A43" s="8" t="s">
        <v>189</v>
      </c>
      <c r="B43" s="6" t="s">
        <v>147</v>
      </c>
      <c r="C43" s="6" t="s">
        <v>148</v>
      </c>
      <c r="D43" s="8" t="s">
        <v>111</v>
      </c>
      <c r="E43" s="8">
        <v>19</v>
      </c>
      <c r="F43" s="8" t="s">
        <v>100</v>
      </c>
      <c r="G43" s="8" t="s">
        <v>102</v>
      </c>
      <c r="H43" s="6"/>
      <c r="I43" s="6"/>
      <c r="J43" s="12" t="str">
        <f t="shared" si="1"/>
        <v/>
      </c>
      <c r="K43" s="6"/>
      <c r="L43" s="13"/>
      <c r="M43" s="6"/>
      <c r="N43" s="6"/>
    </row>
    <row r="44" spans="1:14" x14ac:dyDescent="0.3">
      <c r="A44" s="8" t="s">
        <v>190</v>
      </c>
      <c r="B44" s="6" t="s">
        <v>147</v>
      </c>
      <c r="C44" s="6" t="s">
        <v>148</v>
      </c>
      <c r="D44" s="8" t="s">
        <v>111</v>
      </c>
      <c r="E44" s="8">
        <v>20</v>
      </c>
      <c r="F44" s="8" t="s">
        <v>103</v>
      </c>
      <c r="G44" s="8" t="s">
        <v>105</v>
      </c>
      <c r="H44" s="6"/>
      <c r="I44" s="6"/>
      <c r="J44" s="12" t="str">
        <f t="shared" si="1"/>
        <v/>
      </c>
      <c r="K44" s="6"/>
      <c r="L44" s="13"/>
      <c r="M44" s="6"/>
      <c r="N44" s="6"/>
    </row>
    <row r="45" spans="1:14" x14ac:dyDescent="0.3">
      <c r="A45" s="8" t="s">
        <v>191</v>
      </c>
      <c r="B45" s="6" t="s">
        <v>192</v>
      </c>
      <c r="C45" s="6" t="s">
        <v>148</v>
      </c>
      <c r="D45" s="8" t="s">
        <v>110</v>
      </c>
      <c r="E45" s="8">
        <v>1</v>
      </c>
      <c r="F45" s="8" t="s">
        <v>46</v>
      </c>
      <c r="G45" s="8" t="s">
        <v>47</v>
      </c>
      <c r="H45" s="6" t="s">
        <v>47</v>
      </c>
      <c r="I45" s="6" t="s">
        <v>46</v>
      </c>
      <c r="J45" s="12" t="s">
        <v>112</v>
      </c>
      <c r="K45" s="6"/>
      <c r="L45" s="13">
        <v>4.4000000000000004</v>
      </c>
      <c r="M45" s="6"/>
      <c r="N45" s="6"/>
    </row>
    <row r="46" spans="1:14" x14ac:dyDescent="0.3">
      <c r="A46" s="8" t="s">
        <v>193</v>
      </c>
      <c r="B46" s="6" t="s">
        <v>192</v>
      </c>
      <c r="C46" s="6" t="s">
        <v>148</v>
      </c>
      <c r="D46" s="8" t="s">
        <v>110</v>
      </c>
      <c r="E46" s="8">
        <v>2</v>
      </c>
      <c r="F46" s="8" t="s">
        <v>49</v>
      </c>
      <c r="G46" s="8" t="s">
        <v>50</v>
      </c>
      <c r="H46" s="6" t="s">
        <v>50</v>
      </c>
      <c r="I46" s="6" t="s">
        <v>49</v>
      </c>
      <c r="J46" s="12" t="s">
        <v>112</v>
      </c>
      <c r="K46" s="6"/>
      <c r="L46" s="13">
        <v>4.5</v>
      </c>
      <c r="M46" s="6"/>
      <c r="N46" s="6"/>
    </row>
    <row r="47" spans="1:14" x14ac:dyDescent="0.3">
      <c r="A47" s="8" t="s">
        <v>194</v>
      </c>
      <c r="B47" s="6" t="s">
        <v>192</v>
      </c>
      <c r="C47" s="6" t="s">
        <v>148</v>
      </c>
      <c r="D47" s="8" t="s">
        <v>110</v>
      </c>
      <c r="E47" s="8">
        <v>3</v>
      </c>
      <c r="F47" s="8" t="s">
        <v>52</v>
      </c>
      <c r="G47" s="8" t="s">
        <v>53</v>
      </c>
      <c r="H47" s="6" t="s">
        <v>53</v>
      </c>
      <c r="I47" s="6" t="s">
        <v>52</v>
      </c>
      <c r="J47" s="12" t="s">
        <v>112</v>
      </c>
      <c r="K47" s="6"/>
      <c r="L47" s="13">
        <v>5.9</v>
      </c>
      <c r="M47" s="6"/>
      <c r="N47" s="6"/>
    </row>
    <row r="48" spans="1:14" x14ac:dyDescent="0.3">
      <c r="A48" s="8" t="s">
        <v>195</v>
      </c>
      <c r="B48" s="6" t="s">
        <v>192</v>
      </c>
      <c r="C48" s="6" t="s">
        <v>148</v>
      </c>
      <c r="D48" s="8" t="s">
        <v>110</v>
      </c>
      <c r="E48" s="8">
        <v>4</v>
      </c>
      <c r="F48" s="8" t="s">
        <v>55</v>
      </c>
      <c r="G48" s="8" t="s">
        <v>56</v>
      </c>
      <c r="H48" s="6" t="s">
        <v>56</v>
      </c>
      <c r="I48" s="6" t="s">
        <v>55</v>
      </c>
      <c r="J48" s="12" t="s">
        <v>112</v>
      </c>
      <c r="K48" s="6"/>
      <c r="L48" s="13">
        <v>3.9</v>
      </c>
      <c r="M48" s="6"/>
      <c r="N48" s="6"/>
    </row>
    <row r="49" spans="1:14" x14ac:dyDescent="0.3">
      <c r="A49" s="8" t="s">
        <v>196</v>
      </c>
      <c r="B49" s="6" t="s">
        <v>192</v>
      </c>
      <c r="C49" s="6" t="s">
        <v>148</v>
      </c>
      <c r="D49" s="8" t="s">
        <v>110</v>
      </c>
      <c r="E49" s="8">
        <v>5</v>
      </c>
      <c r="F49" s="8" t="s">
        <v>58</v>
      </c>
      <c r="G49" s="8" t="s">
        <v>59</v>
      </c>
      <c r="H49" s="6" t="s">
        <v>59</v>
      </c>
      <c r="I49" s="6" t="s">
        <v>58</v>
      </c>
      <c r="J49" s="12" t="s">
        <v>112</v>
      </c>
      <c r="K49" s="6"/>
      <c r="L49" s="13">
        <v>12.6</v>
      </c>
      <c r="M49" s="6"/>
      <c r="N49" s="6"/>
    </row>
    <row r="50" spans="1:14" x14ac:dyDescent="0.3">
      <c r="A50" s="8" t="s">
        <v>197</v>
      </c>
      <c r="B50" s="6" t="s">
        <v>192</v>
      </c>
      <c r="C50" s="6" t="s">
        <v>148</v>
      </c>
      <c r="D50" s="8" t="s">
        <v>110</v>
      </c>
      <c r="E50" s="8">
        <v>6</v>
      </c>
      <c r="F50" s="8" t="s">
        <v>61</v>
      </c>
      <c r="G50" s="8" t="s">
        <v>62</v>
      </c>
      <c r="H50" s="6" t="s">
        <v>62</v>
      </c>
      <c r="I50" s="6" t="s">
        <v>107</v>
      </c>
      <c r="J50" s="12" t="s">
        <v>116</v>
      </c>
      <c r="K50" s="6" t="s">
        <v>36</v>
      </c>
      <c r="L50" s="13">
        <v>5.5</v>
      </c>
      <c r="M50" s="6"/>
      <c r="N50" s="6"/>
    </row>
    <row r="51" spans="1:14" x14ac:dyDescent="0.3">
      <c r="A51" s="8" t="s">
        <v>198</v>
      </c>
      <c r="B51" s="6" t="s">
        <v>192</v>
      </c>
      <c r="C51" s="6" t="s">
        <v>148</v>
      </c>
      <c r="D51" s="8" t="s">
        <v>110</v>
      </c>
      <c r="E51" s="8">
        <v>7</v>
      </c>
      <c r="F51" s="8" t="s">
        <v>64</v>
      </c>
      <c r="G51" s="8" t="s">
        <v>65</v>
      </c>
      <c r="H51" s="6" t="s">
        <v>65</v>
      </c>
      <c r="I51" s="6" t="s">
        <v>64</v>
      </c>
      <c r="J51" s="12" t="s">
        <v>112</v>
      </c>
      <c r="K51" s="6"/>
      <c r="L51" s="13">
        <v>5.3</v>
      </c>
      <c r="M51" s="6"/>
      <c r="N51" s="6"/>
    </row>
    <row r="52" spans="1:14" x14ac:dyDescent="0.3">
      <c r="A52" s="8" t="s">
        <v>199</v>
      </c>
      <c r="B52" s="6" t="s">
        <v>192</v>
      </c>
      <c r="C52" s="6" t="s">
        <v>148</v>
      </c>
      <c r="D52" s="8" t="s">
        <v>110</v>
      </c>
      <c r="E52" s="8">
        <v>8</v>
      </c>
      <c r="F52" s="8" t="s">
        <v>67</v>
      </c>
      <c r="G52" s="8" t="s">
        <v>68</v>
      </c>
      <c r="H52" s="6" t="s">
        <v>68</v>
      </c>
      <c r="I52" s="6" t="s">
        <v>67</v>
      </c>
      <c r="J52" s="12" t="s">
        <v>112</v>
      </c>
      <c r="K52" s="6"/>
      <c r="L52" s="13">
        <v>3.9</v>
      </c>
      <c r="M52" s="6"/>
      <c r="N52" s="6"/>
    </row>
    <row r="53" spans="1:14" x14ac:dyDescent="0.3">
      <c r="A53" s="8" t="s">
        <v>200</v>
      </c>
      <c r="B53" s="6" t="s">
        <v>192</v>
      </c>
      <c r="C53" s="6" t="s">
        <v>148</v>
      </c>
      <c r="D53" s="8" t="s">
        <v>110</v>
      </c>
      <c r="E53" s="8">
        <v>9</v>
      </c>
      <c r="F53" s="8" t="s">
        <v>70</v>
      </c>
      <c r="G53" s="8" t="s">
        <v>71</v>
      </c>
      <c r="H53" s="6" t="s">
        <v>71</v>
      </c>
      <c r="I53" s="6" t="s">
        <v>70</v>
      </c>
      <c r="J53" s="12" t="s">
        <v>112</v>
      </c>
      <c r="K53" s="6"/>
      <c r="L53" s="13">
        <v>7.7</v>
      </c>
      <c r="M53" s="6"/>
      <c r="N53" s="6"/>
    </row>
    <row r="54" spans="1:14" x14ac:dyDescent="0.3">
      <c r="A54" s="8" t="s">
        <v>201</v>
      </c>
      <c r="B54" s="6" t="s">
        <v>192</v>
      </c>
      <c r="C54" s="6" t="s">
        <v>148</v>
      </c>
      <c r="D54" s="8" t="s">
        <v>110</v>
      </c>
      <c r="E54" s="8">
        <v>10</v>
      </c>
      <c r="F54" s="8" t="s">
        <v>73</v>
      </c>
      <c r="G54" s="8" t="s">
        <v>74</v>
      </c>
      <c r="H54" s="6" t="s">
        <v>74</v>
      </c>
      <c r="I54" s="6" t="s">
        <v>73</v>
      </c>
      <c r="J54" s="12" t="s">
        <v>112</v>
      </c>
      <c r="K54" s="6"/>
      <c r="L54" s="13">
        <v>6.5</v>
      </c>
      <c r="M54" s="6"/>
      <c r="N54" s="6"/>
    </row>
    <row r="55" spans="1:14" x14ac:dyDescent="0.3">
      <c r="A55" s="8" t="s">
        <v>202</v>
      </c>
      <c r="B55" s="6" t="s">
        <v>192</v>
      </c>
      <c r="C55" s="6" t="s">
        <v>148</v>
      </c>
      <c r="D55" s="8" t="s">
        <v>110</v>
      </c>
      <c r="E55" s="8">
        <v>11</v>
      </c>
      <c r="F55" s="8" t="s">
        <v>76</v>
      </c>
      <c r="G55" s="8" t="s">
        <v>77</v>
      </c>
      <c r="H55" s="6" t="s">
        <v>77</v>
      </c>
      <c r="I55" s="6" t="s">
        <v>76</v>
      </c>
      <c r="J55" s="12" t="s">
        <v>112</v>
      </c>
      <c r="K55" s="6"/>
      <c r="L55" s="13">
        <v>10.8</v>
      </c>
      <c r="M55" s="6"/>
      <c r="N55" s="6"/>
    </row>
    <row r="56" spans="1:14" x14ac:dyDescent="0.3">
      <c r="A56" s="8" t="s">
        <v>203</v>
      </c>
      <c r="B56" s="6" t="s">
        <v>192</v>
      </c>
      <c r="C56" s="6" t="s">
        <v>148</v>
      </c>
      <c r="D56" s="8" t="s">
        <v>110</v>
      </c>
      <c r="E56" s="8">
        <v>12</v>
      </c>
      <c r="F56" s="8" t="s">
        <v>79</v>
      </c>
      <c r="G56" s="8" t="s">
        <v>80</v>
      </c>
      <c r="H56" s="6" t="s">
        <v>80</v>
      </c>
      <c r="I56" s="6" t="s">
        <v>79</v>
      </c>
      <c r="J56" s="12" t="s">
        <v>112</v>
      </c>
      <c r="K56" s="6"/>
      <c r="L56" s="13">
        <v>5.3</v>
      </c>
      <c r="M56" s="6"/>
      <c r="N56" s="6"/>
    </row>
    <row r="57" spans="1:14" x14ac:dyDescent="0.3">
      <c r="A57" s="8" t="s">
        <v>204</v>
      </c>
      <c r="B57" s="6" t="s">
        <v>192</v>
      </c>
      <c r="C57" s="6" t="s">
        <v>148</v>
      </c>
      <c r="D57" s="8" t="s">
        <v>110</v>
      </c>
      <c r="E57" s="8">
        <v>13</v>
      </c>
      <c r="F57" s="8" t="s">
        <v>82</v>
      </c>
      <c r="G57" s="8" t="s">
        <v>83</v>
      </c>
      <c r="H57" s="6" t="s">
        <v>83</v>
      </c>
      <c r="I57" s="6" t="s">
        <v>82</v>
      </c>
      <c r="J57" s="12" t="s">
        <v>112</v>
      </c>
      <c r="K57" s="6"/>
      <c r="L57" s="13">
        <v>6.2</v>
      </c>
      <c r="M57" s="6"/>
      <c r="N57" s="6"/>
    </row>
    <row r="58" spans="1:14" x14ac:dyDescent="0.3">
      <c r="A58" s="8" t="s">
        <v>205</v>
      </c>
      <c r="B58" s="6" t="s">
        <v>192</v>
      </c>
      <c r="C58" s="6" t="s">
        <v>148</v>
      </c>
      <c r="D58" s="8" t="s">
        <v>110</v>
      </c>
      <c r="E58" s="8">
        <v>14</v>
      </c>
      <c r="F58" s="8" t="s">
        <v>85</v>
      </c>
      <c r="G58" s="8" t="s">
        <v>86</v>
      </c>
      <c r="H58" s="6" t="s">
        <v>86</v>
      </c>
      <c r="I58" s="6" t="s">
        <v>85</v>
      </c>
      <c r="J58" s="12" t="s">
        <v>112</v>
      </c>
      <c r="K58" s="6"/>
      <c r="L58" s="13">
        <v>5.0999999999999996</v>
      </c>
      <c r="M58" s="6"/>
      <c r="N58" s="6"/>
    </row>
    <row r="59" spans="1:14" x14ac:dyDescent="0.3">
      <c r="A59" s="8" t="s">
        <v>206</v>
      </c>
      <c r="B59" s="6" t="s">
        <v>192</v>
      </c>
      <c r="C59" s="6" t="s">
        <v>148</v>
      </c>
      <c r="D59" s="8" t="s">
        <v>110</v>
      </c>
      <c r="E59" s="8">
        <v>15</v>
      </c>
      <c r="F59" s="8" t="s">
        <v>88</v>
      </c>
      <c r="G59" s="8" t="s">
        <v>89</v>
      </c>
      <c r="H59" s="6" t="s">
        <v>89</v>
      </c>
      <c r="I59" s="6" t="s">
        <v>88</v>
      </c>
      <c r="J59" s="12" t="s">
        <v>112</v>
      </c>
      <c r="K59" s="6"/>
      <c r="L59" s="13">
        <v>4.7</v>
      </c>
      <c r="M59" s="6"/>
      <c r="N59" s="6"/>
    </row>
    <row r="60" spans="1:14" x14ac:dyDescent="0.3">
      <c r="A60" s="8" t="s">
        <v>207</v>
      </c>
      <c r="B60" s="6" t="s">
        <v>192</v>
      </c>
      <c r="C60" s="6" t="s">
        <v>148</v>
      </c>
      <c r="D60" s="8" t="s">
        <v>110</v>
      </c>
      <c r="E60" s="8">
        <v>16</v>
      </c>
      <c r="F60" s="8" t="s">
        <v>91</v>
      </c>
      <c r="G60" s="8" t="s">
        <v>92</v>
      </c>
      <c r="H60" s="6" t="s">
        <v>92</v>
      </c>
      <c r="I60" s="6" t="s">
        <v>91</v>
      </c>
      <c r="J60" s="12" t="s">
        <v>112</v>
      </c>
      <c r="K60" s="6"/>
      <c r="L60" s="13">
        <v>4.3</v>
      </c>
      <c r="M60" s="6"/>
      <c r="N60" s="6"/>
    </row>
    <row r="61" spans="1:14" x14ac:dyDescent="0.3">
      <c r="A61" s="8" t="s">
        <v>208</v>
      </c>
      <c r="B61" s="6" t="s">
        <v>192</v>
      </c>
      <c r="C61" s="6" t="s">
        <v>148</v>
      </c>
      <c r="D61" s="8" t="s">
        <v>110</v>
      </c>
      <c r="E61" s="8">
        <v>17</v>
      </c>
      <c r="F61" s="8" t="s">
        <v>94</v>
      </c>
      <c r="G61" s="8" t="s">
        <v>95</v>
      </c>
      <c r="H61" s="6" t="s">
        <v>95</v>
      </c>
      <c r="I61" s="6" t="s">
        <v>94</v>
      </c>
      <c r="J61" s="12" t="s">
        <v>112</v>
      </c>
      <c r="K61" s="6"/>
      <c r="L61" s="13">
        <v>6.4</v>
      </c>
      <c r="M61" s="6"/>
      <c r="N61" s="6"/>
    </row>
    <row r="62" spans="1:14" x14ac:dyDescent="0.3">
      <c r="A62" s="8" t="s">
        <v>209</v>
      </c>
      <c r="B62" s="6" t="s">
        <v>192</v>
      </c>
      <c r="C62" s="6" t="s">
        <v>148</v>
      </c>
      <c r="D62" s="8" t="s">
        <v>110</v>
      </c>
      <c r="E62" s="8">
        <v>18</v>
      </c>
      <c r="F62" s="8" t="s">
        <v>97</v>
      </c>
      <c r="G62" s="8" t="s">
        <v>98</v>
      </c>
      <c r="H62" s="6" t="s">
        <v>98</v>
      </c>
      <c r="I62" s="6" t="s">
        <v>97</v>
      </c>
      <c r="J62" s="12" t="s">
        <v>112</v>
      </c>
      <c r="K62" s="6"/>
      <c r="L62" s="13">
        <v>4.5</v>
      </c>
      <c r="M62" s="6"/>
      <c r="N62" s="6"/>
    </row>
    <row r="63" spans="1:14" x14ac:dyDescent="0.3">
      <c r="A63" s="8" t="s">
        <v>210</v>
      </c>
      <c r="B63" s="6" t="s">
        <v>192</v>
      </c>
      <c r="C63" s="6" t="s">
        <v>148</v>
      </c>
      <c r="D63" s="8" t="s">
        <v>110</v>
      </c>
      <c r="E63" s="8">
        <v>19</v>
      </c>
      <c r="F63" s="8" t="s">
        <v>100</v>
      </c>
      <c r="G63" s="8" t="s">
        <v>101</v>
      </c>
      <c r="H63" s="6" t="s">
        <v>101</v>
      </c>
      <c r="I63" s="6" t="s">
        <v>100</v>
      </c>
      <c r="J63" s="12" t="s">
        <v>112</v>
      </c>
      <c r="K63" s="6"/>
      <c r="L63" s="13">
        <v>4.2</v>
      </c>
      <c r="M63" s="6"/>
      <c r="N63" s="6"/>
    </row>
    <row r="64" spans="1:14" x14ac:dyDescent="0.3">
      <c r="A64" s="8" t="s">
        <v>211</v>
      </c>
      <c r="B64" s="6" t="s">
        <v>192</v>
      </c>
      <c r="C64" s="6" t="s">
        <v>148</v>
      </c>
      <c r="D64" s="8" t="s">
        <v>110</v>
      </c>
      <c r="E64" s="8">
        <v>20</v>
      </c>
      <c r="F64" s="8" t="s">
        <v>103</v>
      </c>
      <c r="G64" s="8" t="s">
        <v>104</v>
      </c>
      <c r="H64" s="6" t="s">
        <v>104</v>
      </c>
      <c r="I64" s="6" t="s">
        <v>107</v>
      </c>
      <c r="J64" s="12" t="s">
        <v>115</v>
      </c>
      <c r="K64" s="6" t="s">
        <v>36</v>
      </c>
      <c r="L64" s="13">
        <v>6.14</v>
      </c>
      <c r="M64" s="6"/>
      <c r="N64" s="6"/>
    </row>
    <row r="65" spans="1:14" x14ac:dyDescent="0.3">
      <c r="A65" s="8" t="s">
        <v>212</v>
      </c>
      <c r="B65" s="6" t="s">
        <v>192</v>
      </c>
      <c r="C65" s="6" t="s">
        <v>148</v>
      </c>
      <c r="D65" s="8" t="s">
        <v>111</v>
      </c>
      <c r="E65" s="8">
        <v>1</v>
      </c>
      <c r="F65" s="8" t="s">
        <v>46</v>
      </c>
      <c r="G65" s="8" t="s">
        <v>48</v>
      </c>
      <c r="H65" s="25" t="s">
        <v>48</v>
      </c>
      <c r="I65" s="6" t="s">
        <v>46</v>
      </c>
      <c r="J65" s="12" t="s">
        <v>112</v>
      </c>
      <c r="K65" s="6"/>
      <c r="L65" s="13">
        <v>31</v>
      </c>
      <c r="M65" s="6"/>
      <c r="N65" s="6"/>
    </row>
    <row r="66" spans="1:14" x14ac:dyDescent="0.3">
      <c r="A66" s="8" t="s">
        <v>213</v>
      </c>
      <c r="B66" s="6" t="s">
        <v>192</v>
      </c>
      <c r="C66" s="6" t="s">
        <v>148</v>
      </c>
      <c r="D66" s="8" t="s">
        <v>111</v>
      </c>
      <c r="E66" s="8">
        <v>2</v>
      </c>
      <c r="F66" s="8" t="s">
        <v>49</v>
      </c>
      <c r="G66" s="8" t="s">
        <v>51</v>
      </c>
      <c r="H66" s="25" t="s">
        <v>51</v>
      </c>
      <c r="I66" s="6" t="s">
        <v>49</v>
      </c>
      <c r="J66" s="12" t="s">
        <v>112</v>
      </c>
      <c r="K66" s="6"/>
      <c r="L66" s="13">
        <v>4.3</v>
      </c>
      <c r="M66" s="6"/>
      <c r="N66" s="6"/>
    </row>
    <row r="67" spans="1:14" x14ac:dyDescent="0.3">
      <c r="A67" s="8" t="s">
        <v>214</v>
      </c>
      <c r="B67" s="6" t="s">
        <v>192</v>
      </c>
      <c r="C67" s="6" t="s">
        <v>148</v>
      </c>
      <c r="D67" s="8" t="s">
        <v>111</v>
      </c>
      <c r="E67" s="8">
        <v>3</v>
      </c>
      <c r="F67" s="8" t="s">
        <v>52</v>
      </c>
      <c r="G67" s="8" t="s">
        <v>54</v>
      </c>
      <c r="H67" s="25" t="s">
        <v>54</v>
      </c>
      <c r="I67" s="6" t="s">
        <v>52</v>
      </c>
      <c r="J67" s="12" t="s">
        <v>113</v>
      </c>
      <c r="K67" s="6"/>
      <c r="L67" s="13">
        <v>5</v>
      </c>
      <c r="M67" s="6"/>
      <c r="N67" s="6"/>
    </row>
    <row r="68" spans="1:14" x14ac:dyDescent="0.3">
      <c r="A68" s="8" t="s">
        <v>215</v>
      </c>
      <c r="B68" s="6" t="s">
        <v>192</v>
      </c>
      <c r="C68" s="6" t="s">
        <v>148</v>
      </c>
      <c r="D68" s="8" t="s">
        <v>111</v>
      </c>
      <c r="E68" s="8">
        <v>4</v>
      </c>
      <c r="F68" s="8" t="s">
        <v>55</v>
      </c>
      <c r="G68" s="8" t="s">
        <v>57</v>
      </c>
      <c r="H68" s="25" t="s">
        <v>57</v>
      </c>
      <c r="I68" s="6" t="s">
        <v>55</v>
      </c>
      <c r="J68" s="12" t="s">
        <v>112</v>
      </c>
      <c r="K68" s="6"/>
      <c r="L68" s="13">
        <v>7.8</v>
      </c>
      <c r="M68" s="6"/>
      <c r="N68" s="6"/>
    </row>
    <row r="69" spans="1:14" x14ac:dyDescent="0.3">
      <c r="A69" s="8" t="s">
        <v>216</v>
      </c>
      <c r="B69" s="6" t="s">
        <v>192</v>
      </c>
      <c r="C69" s="6" t="s">
        <v>148</v>
      </c>
      <c r="D69" s="8" t="s">
        <v>111</v>
      </c>
      <c r="E69" s="8">
        <v>5</v>
      </c>
      <c r="F69" s="8" t="s">
        <v>58</v>
      </c>
      <c r="G69" s="8" t="s">
        <v>60</v>
      </c>
      <c r="H69" s="25" t="s">
        <v>60</v>
      </c>
      <c r="I69" s="6" t="s">
        <v>58</v>
      </c>
      <c r="J69" s="12" t="s">
        <v>112</v>
      </c>
      <c r="K69" s="6"/>
      <c r="L69" s="13">
        <v>6.3</v>
      </c>
      <c r="M69" s="6"/>
      <c r="N69" s="6"/>
    </row>
    <row r="70" spans="1:14" x14ac:dyDescent="0.3">
      <c r="A70" s="8" t="s">
        <v>217</v>
      </c>
      <c r="B70" s="6" t="s">
        <v>192</v>
      </c>
      <c r="C70" s="6" t="s">
        <v>148</v>
      </c>
      <c r="D70" s="8" t="s">
        <v>111</v>
      </c>
      <c r="E70" s="8">
        <v>6</v>
      </c>
      <c r="F70" s="8" t="s">
        <v>61</v>
      </c>
      <c r="G70" s="8" t="s">
        <v>63</v>
      </c>
      <c r="H70" s="25" t="s">
        <v>63</v>
      </c>
      <c r="I70" s="6" t="s">
        <v>61</v>
      </c>
      <c r="J70" s="12" t="s">
        <v>112</v>
      </c>
      <c r="K70" s="6"/>
      <c r="L70" s="13">
        <v>4.5</v>
      </c>
      <c r="M70" s="6"/>
      <c r="N70" s="6"/>
    </row>
    <row r="71" spans="1:14" x14ac:dyDescent="0.3">
      <c r="A71" s="8" t="s">
        <v>218</v>
      </c>
      <c r="B71" s="6" t="s">
        <v>192</v>
      </c>
      <c r="C71" s="6" t="s">
        <v>148</v>
      </c>
      <c r="D71" s="8" t="s">
        <v>111</v>
      </c>
      <c r="E71" s="8">
        <v>7</v>
      </c>
      <c r="F71" s="8" t="s">
        <v>64</v>
      </c>
      <c r="G71" s="8" t="s">
        <v>66</v>
      </c>
      <c r="H71" s="25" t="s">
        <v>66</v>
      </c>
      <c r="I71" s="6" t="s">
        <v>64</v>
      </c>
      <c r="J71" s="12" t="s">
        <v>115</v>
      </c>
      <c r="K71" s="6"/>
      <c r="L71" s="13">
        <v>6</v>
      </c>
      <c r="M71" s="6"/>
      <c r="N71" s="6"/>
    </row>
    <row r="72" spans="1:14" x14ac:dyDescent="0.3">
      <c r="A72" s="8" t="s">
        <v>219</v>
      </c>
      <c r="B72" s="6" t="s">
        <v>192</v>
      </c>
      <c r="C72" s="6" t="s">
        <v>148</v>
      </c>
      <c r="D72" s="8" t="s">
        <v>111</v>
      </c>
      <c r="E72" s="8">
        <v>8</v>
      </c>
      <c r="F72" s="8" t="s">
        <v>67</v>
      </c>
      <c r="G72" s="8" t="s">
        <v>69</v>
      </c>
      <c r="H72" s="25" t="s">
        <v>69</v>
      </c>
      <c r="I72" s="6" t="s">
        <v>67</v>
      </c>
      <c r="J72" s="12" t="s">
        <v>112</v>
      </c>
      <c r="K72" s="6"/>
      <c r="L72" s="13">
        <v>4.4000000000000004</v>
      </c>
      <c r="M72" s="6"/>
      <c r="N72" s="6"/>
    </row>
    <row r="73" spans="1:14" x14ac:dyDescent="0.3">
      <c r="A73" s="8" t="s">
        <v>220</v>
      </c>
      <c r="B73" s="6" t="s">
        <v>192</v>
      </c>
      <c r="C73" s="6" t="s">
        <v>148</v>
      </c>
      <c r="D73" s="8" t="s">
        <v>111</v>
      </c>
      <c r="E73" s="8">
        <v>9</v>
      </c>
      <c r="F73" s="8" t="s">
        <v>70</v>
      </c>
      <c r="G73" s="8" t="s">
        <v>72</v>
      </c>
      <c r="H73" s="6" t="s">
        <v>72</v>
      </c>
      <c r="I73" s="6" t="s">
        <v>70</v>
      </c>
      <c r="J73" s="12" t="s">
        <v>112</v>
      </c>
      <c r="K73" s="6"/>
      <c r="L73" s="13">
        <v>4.2</v>
      </c>
      <c r="M73" s="6"/>
      <c r="N73" s="6"/>
    </row>
    <row r="74" spans="1:14" x14ac:dyDescent="0.3">
      <c r="A74" s="8" t="s">
        <v>221</v>
      </c>
      <c r="B74" s="6" t="s">
        <v>192</v>
      </c>
      <c r="C74" s="6" t="s">
        <v>148</v>
      </c>
      <c r="D74" s="8" t="s">
        <v>111</v>
      </c>
      <c r="E74" s="8">
        <v>10</v>
      </c>
      <c r="F74" s="8" t="s">
        <v>73</v>
      </c>
      <c r="G74" s="8" t="s">
        <v>75</v>
      </c>
      <c r="H74" s="6" t="s">
        <v>75</v>
      </c>
      <c r="I74" s="6" t="s">
        <v>73</v>
      </c>
      <c r="J74" s="12" t="s">
        <v>112</v>
      </c>
      <c r="K74" s="6"/>
      <c r="L74" s="13">
        <v>7.7</v>
      </c>
      <c r="M74" s="6"/>
      <c r="N74" s="6"/>
    </row>
    <row r="75" spans="1:14" x14ac:dyDescent="0.3">
      <c r="A75" s="8" t="s">
        <v>222</v>
      </c>
      <c r="B75" s="6" t="s">
        <v>192</v>
      </c>
      <c r="C75" s="6" t="s">
        <v>148</v>
      </c>
      <c r="D75" s="8" t="s">
        <v>111</v>
      </c>
      <c r="E75" s="8">
        <v>11</v>
      </c>
      <c r="F75" s="8" t="s">
        <v>76</v>
      </c>
      <c r="G75" s="8" t="s">
        <v>78</v>
      </c>
      <c r="H75" s="6" t="s">
        <v>78</v>
      </c>
      <c r="I75" s="6" t="s">
        <v>76</v>
      </c>
      <c r="J75" s="12" t="s">
        <v>112</v>
      </c>
      <c r="K75" s="6"/>
      <c r="L75" s="13">
        <v>4.0999999999999996</v>
      </c>
      <c r="M75" s="6"/>
      <c r="N75" s="6"/>
    </row>
    <row r="76" spans="1:14" x14ac:dyDescent="0.3">
      <c r="A76" s="8" t="s">
        <v>223</v>
      </c>
      <c r="B76" s="6" t="s">
        <v>192</v>
      </c>
      <c r="C76" s="6" t="s">
        <v>148</v>
      </c>
      <c r="D76" s="8" t="s">
        <v>111</v>
      </c>
      <c r="E76" s="8">
        <v>12</v>
      </c>
      <c r="F76" s="8" t="s">
        <v>79</v>
      </c>
      <c r="G76" s="8" t="s">
        <v>81</v>
      </c>
      <c r="H76" s="6" t="s">
        <v>81</v>
      </c>
      <c r="I76" s="6" t="s">
        <v>79</v>
      </c>
      <c r="J76" s="12" t="s">
        <v>115</v>
      </c>
      <c r="K76" s="6"/>
      <c r="L76" s="13">
        <v>5.6</v>
      </c>
      <c r="M76" s="6"/>
      <c r="N76" s="6"/>
    </row>
    <row r="77" spans="1:14" x14ac:dyDescent="0.3">
      <c r="A77" s="8" t="s">
        <v>224</v>
      </c>
      <c r="B77" s="6" t="s">
        <v>192</v>
      </c>
      <c r="C77" s="6" t="s">
        <v>148</v>
      </c>
      <c r="D77" s="8" t="s">
        <v>111</v>
      </c>
      <c r="E77" s="8">
        <v>13</v>
      </c>
      <c r="F77" s="8" t="s">
        <v>82</v>
      </c>
      <c r="G77" s="8" t="s">
        <v>84</v>
      </c>
      <c r="H77" s="6" t="s">
        <v>84</v>
      </c>
      <c r="I77" s="6" t="s">
        <v>82</v>
      </c>
      <c r="J77" s="12" t="s">
        <v>112</v>
      </c>
      <c r="K77" s="6"/>
      <c r="L77" s="13">
        <v>4.2</v>
      </c>
      <c r="M77" s="6"/>
      <c r="N77" s="6"/>
    </row>
    <row r="78" spans="1:14" x14ac:dyDescent="0.3">
      <c r="A78" s="8" t="s">
        <v>225</v>
      </c>
      <c r="B78" s="6" t="s">
        <v>192</v>
      </c>
      <c r="C78" s="6" t="s">
        <v>148</v>
      </c>
      <c r="D78" s="8" t="s">
        <v>111</v>
      </c>
      <c r="E78" s="8">
        <v>14</v>
      </c>
      <c r="F78" s="8" t="s">
        <v>85</v>
      </c>
      <c r="G78" s="8" t="s">
        <v>87</v>
      </c>
      <c r="H78" s="6" t="s">
        <v>87</v>
      </c>
      <c r="I78" s="6" t="s">
        <v>85</v>
      </c>
      <c r="J78" s="12" t="s">
        <v>112</v>
      </c>
      <c r="K78" s="6"/>
      <c r="L78" s="13">
        <v>3.7</v>
      </c>
      <c r="M78" s="6"/>
      <c r="N78" s="6"/>
    </row>
    <row r="79" spans="1:14" x14ac:dyDescent="0.3">
      <c r="A79" s="8" t="s">
        <v>226</v>
      </c>
      <c r="B79" s="6" t="s">
        <v>192</v>
      </c>
      <c r="C79" s="6" t="s">
        <v>148</v>
      </c>
      <c r="D79" s="8" t="s">
        <v>111</v>
      </c>
      <c r="E79" s="8">
        <v>15</v>
      </c>
      <c r="F79" s="8" t="s">
        <v>88</v>
      </c>
      <c r="G79" s="8" t="s">
        <v>90</v>
      </c>
      <c r="H79" s="6" t="s">
        <v>90</v>
      </c>
      <c r="I79" s="6" t="s">
        <v>88</v>
      </c>
      <c r="J79" s="12" t="s">
        <v>112</v>
      </c>
      <c r="K79" s="6"/>
      <c r="L79" s="13">
        <v>6.3</v>
      </c>
      <c r="M79" s="6"/>
      <c r="N79" s="6"/>
    </row>
    <row r="80" spans="1:14" x14ac:dyDescent="0.3">
      <c r="A80" s="8" t="s">
        <v>227</v>
      </c>
      <c r="B80" s="6" t="s">
        <v>192</v>
      </c>
      <c r="C80" s="6" t="s">
        <v>148</v>
      </c>
      <c r="D80" s="8" t="s">
        <v>111</v>
      </c>
      <c r="E80" s="8">
        <v>16</v>
      </c>
      <c r="F80" s="8" t="s">
        <v>91</v>
      </c>
      <c r="G80" s="8" t="s">
        <v>93</v>
      </c>
      <c r="H80" s="6" t="s">
        <v>93</v>
      </c>
      <c r="I80" s="6" t="s">
        <v>91</v>
      </c>
      <c r="J80" s="12" t="s">
        <v>112</v>
      </c>
      <c r="K80" s="6"/>
      <c r="L80" s="13">
        <v>4.7</v>
      </c>
      <c r="M80" s="6"/>
      <c r="N80" s="6"/>
    </row>
    <row r="81" spans="1:14" x14ac:dyDescent="0.3">
      <c r="A81" s="8" t="s">
        <v>228</v>
      </c>
      <c r="B81" s="6" t="s">
        <v>192</v>
      </c>
      <c r="C81" s="6" t="s">
        <v>148</v>
      </c>
      <c r="D81" s="8" t="s">
        <v>111</v>
      </c>
      <c r="E81" s="8">
        <v>17</v>
      </c>
      <c r="F81" s="8" t="s">
        <v>94</v>
      </c>
      <c r="G81" s="8" t="s">
        <v>96</v>
      </c>
      <c r="H81" s="6" t="s">
        <v>96</v>
      </c>
      <c r="I81" s="6" t="s">
        <v>94</v>
      </c>
      <c r="J81" s="12" t="s">
        <v>112</v>
      </c>
      <c r="K81" s="6"/>
      <c r="L81" s="13">
        <v>5.4</v>
      </c>
      <c r="M81" s="6"/>
      <c r="N81" s="6"/>
    </row>
    <row r="82" spans="1:14" x14ac:dyDescent="0.3">
      <c r="A82" s="8" t="s">
        <v>229</v>
      </c>
      <c r="B82" s="6" t="s">
        <v>192</v>
      </c>
      <c r="C82" s="6" t="s">
        <v>148</v>
      </c>
      <c r="D82" s="8" t="s">
        <v>111</v>
      </c>
      <c r="E82" s="8">
        <v>18</v>
      </c>
      <c r="F82" s="8" t="s">
        <v>97</v>
      </c>
      <c r="G82" s="8" t="s">
        <v>99</v>
      </c>
      <c r="H82" s="6" t="s">
        <v>99</v>
      </c>
      <c r="I82" s="6" t="s">
        <v>97</v>
      </c>
      <c r="J82" s="12" t="s">
        <v>112</v>
      </c>
      <c r="K82" s="6"/>
      <c r="L82" s="13">
        <v>4.5999999999999996</v>
      </c>
      <c r="M82" s="6"/>
      <c r="N82" s="6"/>
    </row>
    <row r="83" spans="1:14" x14ac:dyDescent="0.3">
      <c r="A83" s="8" t="s">
        <v>230</v>
      </c>
      <c r="B83" s="6" t="s">
        <v>192</v>
      </c>
      <c r="C83" s="6" t="s">
        <v>148</v>
      </c>
      <c r="D83" s="8" t="s">
        <v>111</v>
      </c>
      <c r="E83" s="8">
        <v>19</v>
      </c>
      <c r="F83" s="8" t="s">
        <v>100</v>
      </c>
      <c r="G83" s="8" t="s">
        <v>102</v>
      </c>
      <c r="H83" s="6" t="s">
        <v>102</v>
      </c>
      <c r="I83" s="6" t="s">
        <v>100</v>
      </c>
      <c r="J83" s="12" t="s">
        <v>112</v>
      </c>
      <c r="K83" s="6"/>
      <c r="L83" s="13">
        <v>4.9000000000000004</v>
      </c>
      <c r="M83" s="6"/>
      <c r="N83" s="6"/>
    </row>
    <row r="84" spans="1:14" x14ac:dyDescent="0.3">
      <c r="A84" s="8" t="s">
        <v>231</v>
      </c>
      <c r="B84" s="6" t="s">
        <v>192</v>
      </c>
      <c r="C84" s="6" t="s">
        <v>148</v>
      </c>
      <c r="D84" s="8" t="s">
        <v>111</v>
      </c>
      <c r="E84" s="8">
        <v>20</v>
      </c>
      <c r="F84" s="8" t="s">
        <v>103</v>
      </c>
      <c r="G84" s="8" t="s">
        <v>105</v>
      </c>
      <c r="H84" s="6" t="s">
        <v>105</v>
      </c>
      <c r="I84" s="6" t="s">
        <v>103</v>
      </c>
      <c r="J84" s="12" t="s">
        <v>112</v>
      </c>
      <c r="K84" s="6"/>
      <c r="L84" s="13">
        <v>3.9</v>
      </c>
      <c r="M84" s="6"/>
      <c r="N84" s="6"/>
    </row>
  </sheetData>
  <conditionalFormatting sqref="J5:J84">
    <cfRule type="cellIs" dxfId="5" priority="4" operator="equal">
      <formula>"Yes"</formula>
    </cfRule>
    <cfRule type="cellIs" dxfId="4" priority="5" operator="equal">
      <formula>"No"</formula>
    </cfRule>
  </conditionalFormatting>
  <dataValidations count="4">
    <dataValidation type="list" allowBlank="1" sqref="B5:B84">
      <formula1>"S1,S2,S3,S4"</formula1>
      <formula2>0</formula2>
    </dataValidation>
    <dataValidation type="list" allowBlank="1" sqref="C5:C84">
      <formula1>"Quiet,Noisy,Far from mic"</formula1>
      <formula2>0</formula2>
    </dataValidation>
    <dataValidation type="list" allowBlank="1" sqref="K5:K84">
      <formula1>"None,ASR misheard,Keyword mismatch,No match returned,Other"</formula1>
      <formula2>0</formula2>
    </dataValidation>
    <dataValidation type="list" allowBlank="1" sqref="M5:M84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Keywords!$B$5:$B$25</xm:f>
          </x14:formula1>
          <x14:formula2>
            <xm:f>0</xm:f>
          </x14:formula2>
          <xm:sqref>I5:I84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9" customWidth="1"/>
    <col min="3" max="3" width="10" customWidth="1"/>
    <col min="4" max="4" width="16" customWidth="1"/>
    <col min="5" max="5" width="14" customWidth="1"/>
    <col min="6" max="6" width="20" customWidth="1"/>
    <col min="7" max="7" width="17" customWidth="1"/>
    <col min="8" max="8" width="10" customWidth="1"/>
    <col min="9" max="9" width="19" customWidth="1"/>
    <col min="10" max="10" width="30" customWidth="1"/>
  </cols>
  <sheetData>
    <row r="1" spans="1:10" ht="17.399999999999999" x14ac:dyDescent="0.3">
      <c r="A1" s="1" t="s">
        <v>232</v>
      </c>
    </row>
    <row r="2" spans="1:10" x14ac:dyDescent="0.3">
      <c r="A2" s="2" t="s">
        <v>233</v>
      </c>
    </row>
    <row r="3" spans="1:10" ht="31.5" customHeight="1" x14ac:dyDescent="0.3">
      <c r="A3" s="10" t="s">
        <v>132</v>
      </c>
      <c r="B3" s="10" t="s">
        <v>133</v>
      </c>
      <c r="C3" s="10" t="s">
        <v>135</v>
      </c>
      <c r="D3" s="10" t="s">
        <v>234</v>
      </c>
      <c r="E3" s="10" t="s">
        <v>235</v>
      </c>
      <c r="F3" s="10" t="s">
        <v>139</v>
      </c>
      <c r="G3" s="10" t="s">
        <v>236</v>
      </c>
      <c r="H3" s="10" t="s">
        <v>141</v>
      </c>
      <c r="I3" s="10" t="s">
        <v>142</v>
      </c>
      <c r="J3" s="10" t="s">
        <v>145</v>
      </c>
    </row>
    <row r="4" spans="1:10" x14ac:dyDescent="0.3">
      <c r="A4" s="9" t="s">
        <v>146</v>
      </c>
      <c r="B4" s="9" t="s">
        <v>147</v>
      </c>
      <c r="C4" s="9" t="s">
        <v>110</v>
      </c>
      <c r="D4" s="9" t="s">
        <v>118</v>
      </c>
      <c r="E4" s="9" t="s">
        <v>119</v>
      </c>
      <c r="F4" s="9" t="s">
        <v>119</v>
      </c>
      <c r="G4" s="9" t="s">
        <v>118</v>
      </c>
      <c r="H4" s="9" t="str">
        <f t="shared" ref="H4:H28" si="0">IF(G4="","",IF(TRIM(D4)=TRIM(G4),"Yes","No"))</f>
        <v>Yes</v>
      </c>
      <c r="I4" s="9" t="s">
        <v>149</v>
      </c>
      <c r="J4" s="9" t="s">
        <v>150</v>
      </c>
    </row>
    <row r="5" spans="1:10" x14ac:dyDescent="0.3">
      <c r="A5" s="8" t="s">
        <v>237</v>
      </c>
      <c r="B5" s="6" t="s">
        <v>147</v>
      </c>
      <c r="C5" s="8" t="s">
        <v>110</v>
      </c>
      <c r="D5" s="8" t="s">
        <v>112</v>
      </c>
      <c r="E5" s="8" t="s">
        <v>113</v>
      </c>
      <c r="F5" s="6"/>
      <c r="G5" s="6"/>
      <c r="H5" s="12" t="str">
        <f t="shared" si="0"/>
        <v/>
      </c>
      <c r="I5" s="6"/>
      <c r="J5" s="6"/>
    </row>
    <row r="6" spans="1:10" x14ac:dyDescent="0.3">
      <c r="A6" s="8" t="s">
        <v>238</v>
      </c>
      <c r="B6" s="6" t="s">
        <v>147</v>
      </c>
      <c r="C6" s="8" t="s">
        <v>110</v>
      </c>
      <c r="D6" s="8" t="s">
        <v>115</v>
      </c>
      <c r="E6" s="8" t="s">
        <v>116</v>
      </c>
      <c r="F6" s="6"/>
      <c r="G6" s="6"/>
      <c r="H6" s="12" t="str">
        <f t="shared" si="0"/>
        <v/>
      </c>
      <c r="I6" s="6"/>
      <c r="J6" s="6"/>
    </row>
    <row r="7" spans="1:10" x14ac:dyDescent="0.3">
      <c r="A7" s="8" t="s">
        <v>239</v>
      </c>
      <c r="B7" s="6" t="s">
        <v>147</v>
      </c>
      <c r="C7" s="8" t="s">
        <v>110</v>
      </c>
      <c r="D7" s="8" t="s">
        <v>118</v>
      </c>
      <c r="E7" s="8" t="s">
        <v>119</v>
      </c>
      <c r="F7" s="6"/>
      <c r="G7" s="6"/>
      <c r="H7" s="12" t="str">
        <f t="shared" si="0"/>
        <v/>
      </c>
      <c r="I7" s="6"/>
      <c r="J7" s="6"/>
    </row>
    <row r="8" spans="1:10" x14ac:dyDescent="0.3">
      <c r="A8" s="8" t="s">
        <v>240</v>
      </c>
      <c r="B8" s="6" t="s">
        <v>147</v>
      </c>
      <c r="C8" s="8" t="s">
        <v>110</v>
      </c>
      <c r="D8" s="8" t="s">
        <v>121</v>
      </c>
      <c r="E8" s="8" t="s">
        <v>122</v>
      </c>
      <c r="F8" s="6"/>
      <c r="G8" s="6"/>
      <c r="H8" s="12" t="str">
        <f t="shared" si="0"/>
        <v/>
      </c>
      <c r="I8" s="6"/>
      <c r="J8" s="6"/>
    </row>
    <row r="9" spans="1:10" x14ac:dyDescent="0.3">
      <c r="A9" s="8" t="s">
        <v>241</v>
      </c>
      <c r="B9" s="6" t="s">
        <v>147</v>
      </c>
      <c r="C9" s="8" t="s">
        <v>110</v>
      </c>
      <c r="D9" s="8" t="s">
        <v>124</v>
      </c>
      <c r="E9" s="8" t="s">
        <v>125</v>
      </c>
      <c r="F9" s="6"/>
      <c r="G9" s="6"/>
      <c r="H9" s="12" t="str">
        <f t="shared" si="0"/>
        <v/>
      </c>
      <c r="I9" s="6"/>
      <c r="J9" s="6"/>
    </row>
    <row r="10" spans="1:10" x14ac:dyDescent="0.3">
      <c r="A10" s="8" t="s">
        <v>242</v>
      </c>
      <c r="B10" s="6" t="s">
        <v>147</v>
      </c>
      <c r="C10" s="8" t="s">
        <v>110</v>
      </c>
      <c r="D10" s="8" t="s">
        <v>127</v>
      </c>
      <c r="E10" s="8" t="s">
        <v>128</v>
      </c>
      <c r="F10" s="6"/>
      <c r="G10" s="6"/>
      <c r="H10" s="12" t="str">
        <f t="shared" si="0"/>
        <v/>
      </c>
      <c r="I10" s="6"/>
      <c r="J10" s="6"/>
    </row>
    <row r="11" spans="1:10" x14ac:dyDescent="0.3">
      <c r="A11" s="8" t="s">
        <v>243</v>
      </c>
      <c r="B11" s="6" t="s">
        <v>147</v>
      </c>
      <c r="C11" s="8" t="s">
        <v>111</v>
      </c>
      <c r="D11" s="8" t="s">
        <v>112</v>
      </c>
      <c r="E11" s="8" t="s">
        <v>114</v>
      </c>
      <c r="F11" s="6"/>
      <c r="G11" s="6"/>
      <c r="H11" s="12" t="str">
        <f t="shared" si="0"/>
        <v/>
      </c>
      <c r="I11" s="6"/>
      <c r="J11" s="6"/>
    </row>
    <row r="12" spans="1:10" x14ac:dyDescent="0.3">
      <c r="A12" s="8" t="s">
        <v>244</v>
      </c>
      <c r="B12" s="6" t="s">
        <v>147</v>
      </c>
      <c r="C12" s="8" t="s">
        <v>111</v>
      </c>
      <c r="D12" s="8" t="s">
        <v>115</v>
      </c>
      <c r="E12" s="8" t="s">
        <v>117</v>
      </c>
      <c r="F12" s="6"/>
      <c r="G12" s="6"/>
      <c r="H12" s="12" t="str">
        <f t="shared" si="0"/>
        <v/>
      </c>
      <c r="I12" s="6"/>
      <c r="J12" s="6"/>
    </row>
    <row r="13" spans="1:10" x14ac:dyDescent="0.3">
      <c r="A13" s="8" t="s">
        <v>245</v>
      </c>
      <c r="B13" s="6" t="s">
        <v>147</v>
      </c>
      <c r="C13" s="8" t="s">
        <v>111</v>
      </c>
      <c r="D13" s="8" t="s">
        <v>118</v>
      </c>
      <c r="E13" s="8" t="s">
        <v>120</v>
      </c>
      <c r="F13" s="6"/>
      <c r="G13" s="6"/>
      <c r="H13" s="12" t="str">
        <f t="shared" si="0"/>
        <v/>
      </c>
      <c r="I13" s="6"/>
      <c r="J13" s="6"/>
    </row>
    <row r="14" spans="1:10" x14ac:dyDescent="0.3">
      <c r="A14" s="8" t="s">
        <v>246</v>
      </c>
      <c r="B14" s="6" t="s">
        <v>147</v>
      </c>
      <c r="C14" s="8" t="s">
        <v>111</v>
      </c>
      <c r="D14" s="8" t="s">
        <v>121</v>
      </c>
      <c r="E14" s="8" t="s">
        <v>123</v>
      </c>
      <c r="F14" s="6"/>
      <c r="G14" s="6"/>
      <c r="H14" s="12" t="str">
        <f t="shared" si="0"/>
        <v/>
      </c>
      <c r="I14" s="6"/>
      <c r="J14" s="6"/>
    </row>
    <row r="15" spans="1:10" x14ac:dyDescent="0.3">
      <c r="A15" s="8" t="s">
        <v>247</v>
      </c>
      <c r="B15" s="6" t="s">
        <v>147</v>
      </c>
      <c r="C15" s="8" t="s">
        <v>111</v>
      </c>
      <c r="D15" s="8" t="s">
        <v>124</v>
      </c>
      <c r="E15" s="8" t="s">
        <v>126</v>
      </c>
      <c r="F15" s="6"/>
      <c r="G15" s="6"/>
      <c r="H15" s="12" t="str">
        <f t="shared" si="0"/>
        <v/>
      </c>
      <c r="I15" s="6"/>
      <c r="J15" s="6"/>
    </row>
    <row r="16" spans="1:10" x14ac:dyDescent="0.3">
      <c r="A16" s="8" t="s">
        <v>248</v>
      </c>
      <c r="B16" s="6" t="s">
        <v>147</v>
      </c>
      <c r="C16" s="8" t="s">
        <v>111</v>
      </c>
      <c r="D16" s="8" t="s">
        <v>127</v>
      </c>
      <c r="E16" s="8" t="s">
        <v>129</v>
      </c>
      <c r="F16" s="6"/>
      <c r="G16" s="6"/>
      <c r="H16" s="12" t="str">
        <f t="shared" si="0"/>
        <v/>
      </c>
      <c r="I16" s="6"/>
      <c r="J16" s="6"/>
    </row>
    <row r="17" spans="1:10" x14ac:dyDescent="0.3">
      <c r="A17" s="8" t="s">
        <v>249</v>
      </c>
      <c r="B17" s="6" t="s">
        <v>192</v>
      </c>
      <c r="C17" s="8" t="s">
        <v>110</v>
      </c>
      <c r="D17" s="8" t="s">
        <v>112</v>
      </c>
      <c r="E17" s="8" t="s">
        <v>113</v>
      </c>
      <c r="F17" s="6"/>
      <c r="G17" s="6"/>
      <c r="H17" s="12" t="str">
        <f t="shared" si="0"/>
        <v/>
      </c>
      <c r="I17" s="6"/>
      <c r="J17" s="6"/>
    </row>
    <row r="18" spans="1:10" x14ac:dyDescent="0.3">
      <c r="A18" s="8" t="s">
        <v>250</v>
      </c>
      <c r="B18" s="6" t="s">
        <v>192</v>
      </c>
      <c r="C18" s="8" t="s">
        <v>110</v>
      </c>
      <c r="D18" s="8" t="s">
        <v>115</v>
      </c>
      <c r="E18" s="8" t="s">
        <v>116</v>
      </c>
      <c r="F18" s="6"/>
      <c r="G18" s="6"/>
      <c r="H18" s="12" t="str">
        <f t="shared" si="0"/>
        <v/>
      </c>
      <c r="I18" s="6"/>
      <c r="J18" s="6"/>
    </row>
    <row r="19" spans="1:10" x14ac:dyDescent="0.3">
      <c r="A19" s="8" t="s">
        <v>251</v>
      </c>
      <c r="B19" s="6" t="s">
        <v>192</v>
      </c>
      <c r="C19" s="8" t="s">
        <v>110</v>
      </c>
      <c r="D19" s="8" t="s">
        <v>118</v>
      </c>
      <c r="E19" s="8" t="s">
        <v>119</v>
      </c>
      <c r="F19" s="6"/>
      <c r="G19" s="6"/>
      <c r="H19" s="12" t="str">
        <f t="shared" si="0"/>
        <v/>
      </c>
      <c r="I19" s="6"/>
      <c r="J19" s="6"/>
    </row>
    <row r="20" spans="1:10" x14ac:dyDescent="0.3">
      <c r="A20" s="8" t="s">
        <v>252</v>
      </c>
      <c r="B20" s="6" t="s">
        <v>192</v>
      </c>
      <c r="C20" s="8" t="s">
        <v>110</v>
      </c>
      <c r="D20" s="8" t="s">
        <v>121</v>
      </c>
      <c r="E20" s="8" t="s">
        <v>122</v>
      </c>
      <c r="F20" s="6"/>
      <c r="G20" s="6"/>
      <c r="H20" s="12" t="str">
        <f t="shared" si="0"/>
        <v/>
      </c>
      <c r="I20" s="6"/>
      <c r="J20" s="6"/>
    </row>
    <row r="21" spans="1:10" x14ac:dyDescent="0.3">
      <c r="A21" s="8" t="s">
        <v>253</v>
      </c>
      <c r="B21" s="6" t="s">
        <v>192</v>
      </c>
      <c r="C21" s="8" t="s">
        <v>110</v>
      </c>
      <c r="D21" s="8" t="s">
        <v>124</v>
      </c>
      <c r="E21" s="8" t="s">
        <v>125</v>
      </c>
      <c r="F21" s="6"/>
      <c r="G21" s="6"/>
      <c r="H21" s="12" t="str">
        <f t="shared" si="0"/>
        <v/>
      </c>
      <c r="I21" s="6"/>
      <c r="J21" s="6"/>
    </row>
    <row r="22" spans="1:10" x14ac:dyDescent="0.3">
      <c r="A22" s="8" t="s">
        <v>254</v>
      </c>
      <c r="B22" s="6" t="s">
        <v>192</v>
      </c>
      <c r="C22" s="8" t="s">
        <v>110</v>
      </c>
      <c r="D22" s="8" t="s">
        <v>127</v>
      </c>
      <c r="E22" s="8" t="s">
        <v>128</v>
      </c>
      <c r="F22" s="6"/>
      <c r="G22" s="6"/>
      <c r="H22" s="12" t="str">
        <f t="shared" si="0"/>
        <v/>
      </c>
      <c r="I22" s="6"/>
      <c r="J22" s="6"/>
    </row>
    <row r="23" spans="1:10" x14ac:dyDescent="0.3">
      <c r="A23" s="8" t="s">
        <v>255</v>
      </c>
      <c r="B23" s="6" t="s">
        <v>192</v>
      </c>
      <c r="C23" s="8" t="s">
        <v>111</v>
      </c>
      <c r="D23" s="8" t="s">
        <v>112</v>
      </c>
      <c r="E23" s="8" t="s">
        <v>114</v>
      </c>
      <c r="F23" s="6"/>
      <c r="G23" s="6"/>
      <c r="H23" s="12" t="str">
        <f t="shared" si="0"/>
        <v/>
      </c>
      <c r="I23" s="6"/>
      <c r="J23" s="6"/>
    </row>
    <row r="24" spans="1:10" x14ac:dyDescent="0.3">
      <c r="A24" s="8" t="s">
        <v>256</v>
      </c>
      <c r="B24" s="6" t="s">
        <v>192</v>
      </c>
      <c r="C24" s="8" t="s">
        <v>111</v>
      </c>
      <c r="D24" s="8" t="s">
        <v>115</v>
      </c>
      <c r="E24" s="8" t="s">
        <v>117</v>
      </c>
      <c r="F24" s="6"/>
      <c r="G24" s="6"/>
      <c r="H24" s="12" t="str">
        <f t="shared" si="0"/>
        <v/>
      </c>
      <c r="I24" s="6"/>
      <c r="J24" s="6"/>
    </row>
    <row r="25" spans="1:10" x14ac:dyDescent="0.3">
      <c r="A25" s="8" t="s">
        <v>257</v>
      </c>
      <c r="B25" s="6" t="s">
        <v>192</v>
      </c>
      <c r="C25" s="8" t="s">
        <v>111</v>
      </c>
      <c r="D25" s="8" t="s">
        <v>118</v>
      </c>
      <c r="E25" s="8" t="s">
        <v>120</v>
      </c>
      <c r="F25" s="6"/>
      <c r="G25" s="6"/>
      <c r="H25" s="12" t="str">
        <f t="shared" si="0"/>
        <v/>
      </c>
      <c r="I25" s="6"/>
      <c r="J25" s="6"/>
    </row>
    <row r="26" spans="1:10" x14ac:dyDescent="0.3">
      <c r="A26" s="8" t="s">
        <v>258</v>
      </c>
      <c r="B26" s="6" t="s">
        <v>192</v>
      </c>
      <c r="C26" s="8" t="s">
        <v>111</v>
      </c>
      <c r="D26" s="8" t="s">
        <v>121</v>
      </c>
      <c r="E26" s="8" t="s">
        <v>123</v>
      </c>
      <c r="F26" s="6"/>
      <c r="G26" s="6"/>
      <c r="H26" s="12" t="str">
        <f t="shared" si="0"/>
        <v/>
      </c>
      <c r="I26" s="6"/>
      <c r="J26" s="6"/>
    </row>
    <row r="27" spans="1:10" x14ac:dyDescent="0.3">
      <c r="A27" s="8" t="s">
        <v>259</v>
      </c>
      <c r="B27" s="6" t="s">
        <v>192</v>
      </c>
      <c r="C27" s="8" t="s">
        <v>111</v>
      </c>
      <c r="D27" s="8" t="s">
        <v>124</v>
      </c>
      <c r="E27" s="8" t="s">
        <v>126</v>
      </c>
      <c r="F27" s="6"/>
      <c r="G27" s="6"/>
      <c r="H27" s="12" t="str">
        <f t="shared" si="0"/>
        <v/>
      </c>
      <c r="I27" s="6"/>
      <c r="J27" s="6"/>
    </row>
    <row r="28" spans="1:10" x14ac:dyDescent="0.3">
      <c r="A28" s="8" t="s">
        <v>260</v>
      </c>
      <c r="B28" s="6" t="s">
        <v>192</v>
      </c>
      <c r="C28" s="8" t="s">
        <v>111</v>
      </c>
      <c r="D28" s="8" t="s">
        <v>127</v>
      </c>
      <c r="E28" s="8" t="s">
        <v>129</v>
      </c>
      <c r="F28" s="6"/>
      <c r="G28" s="6"/>
      <c r="H28" s="12" t="str">
        <f t="shared" si="0"/>
        <v/>
      </c>
      <c r="I28" s="6"/>
      <c r="J28" s="6"/>
    </row>
  </sheetData>
  <conditionalFormatting sqref="H5:H28">
    <cfRule type="cellIs" dxfId="3" priority="2" operator="equal">
      <formula>"Yes"</formula>
    </cfRule>
    <cfRule type="cellIs" dxfId="2" priority="3" operator="equal">
      <formula>"No"</formula>
    </cfRule>
  </conditionalFormatting>
  <dataValidations count="3">
    <dataValidation type="list" allowBlank="1" sqref="B5:B28">
      <formula1>"S1,S2,S3,S4"</formula1>
      <formula2>0</formula2>
    </dataValidation>
    <dataValidation type="list" allowBlank="1" sqref="G5:G28">
      <formula1>"Yes,No,Repeat,Stop,Back,Menu,No match"</formula1>
      <formula2>0</formula2>
    </dataValidation>
    <dataValidation type="list" allowBlank="1" sqref="I5:I28">
      <formula1>"None,ASR misheard,Wrong action,No match returned,Other"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9" customWidth="1"/>
    <col min="3" max="3" width="10" customWidth="1"/>
    <col min="4" max="4" width="9" customWidth="1"/>
    <col min="5" max="5" width="15" customWidth="1"/>
    <col min="6" max="7" width="58" customWidth="1"/>
    <col min="8" max="8" width="26" customWidth="1"/>
  </cols>
  <sheetData>
    <row r="1" spans="1:8" ht="17.399999999999999" x14ac:dyDescent="0.3">
      <c r="A1" s="1" t="s">
        <v>261</v>
      </c>
    </row>
    <row r="2" spans="1:8" x14ac:dyDescent="0.3">
      <c r="A2" s="2" t="s">
        <v>262</v>
      </c>
    </row>
    <row r="3" spans="1:8" ht="31.5" customHeight="1" x14ac:dyDescent="0.3">
      <c r="A3" s="10" t="s">
        <v>132</v>
      </c>
      <c r="B3" s="10" t="s">
        <v>133</v>
      </c>
      <c r="C3" s="10" t="s">
        <v>135</v>
      </c>
      <c r="D3" s="10" t="s">
        <v>136</v>
      </c>
      <c r="E3" s="10" t="s">
        <v>43</v>
      </c>
      <c r="F3" s="10" t="s">
        <v>263</v>
      </c>
      <c r="G3" s="10" t="s">
        <v>139</v>
      </c>
      <c r="H3" s="10" t="s">
        <v>145</v>
      </c>
    </row>
    <row r="4" spans="1:8" ht="42" customHeight="1" x14ac:dyDescent="0.3">
      <c r="A4" s="14" t="s">
        <v>146</v>
      </c>
      <c r="B4" s="14" t="s">
        <v>147</v>
      </c>
      <c r="C4" s="14" t="s">
        <v>110</v>
      </c>
      <c r="D4" s="14">
        <v>2</v>
      </c>
      <c r="E4" s="14" t="s">
        <v>49</v>
      </c>
      <c r="F4" s="14" t="s">
        <v>264</v>
      </c>
      <c r="G4" s="14" t="s">
        <v>265</v>
      </c>
      <c r="H4" s="14" t="s">
        <v>266</v>
      </c>
    </row>
    <row r="5" spans="1:8" ht="43.5" customHeight="1" x14ac:dyDescent="0.3">
      <c r="A5" s="15" t="s">
        <v>267</v>
      </c>
      <c r="B5" s="16" t="s">
        <v>147</v>
      </c>
      <c r="C5" s="15" t="s">
        <v>110</v>
      </c>
      <c r="D5" s="15">
        <v>1</v>
      </c>
      <c r="E5" s="15" t="s">
        <v>46</v>
      </c>
      <c r="F5" s="15" t="s">
        <v>268</v>
      </c>
      <c r="G5" s="16"/>
      <c r="H5" s="16"/>
    </row>
    <row r="6" spans="1:8" ht="43.5" customHeight="1" x14ac:dyDescent="0.3">
      <c r="A6" s="15" t="s">
        <v>269</v>
      </c>
      <c r="B6" s="16" t="s">
        <v>147</v>
      </c>
      <c r="C6" s="15" t="s">
        <v>110</v>
      </c>
      <c r="D6" s="15">
        <v>2</v>
      </c>
      <c r="E6" s="15" t="s">
        <v>49</v>
      </c>
      <c r="F6" s="15" t="s">
        <v>264</v>
      </c>
      <c r="G6" s="16"/>
      <c r="H6" s="16"/>
    </row>
    <row r="7" spans="1:8" ht="43.5" customHeight="1" x14ac:dyDescent="0.3">
      <c r="A7" s="15" t="s">
        <v>270</v>
      </c>
      <c r="B7" s="16" t="s">
        <v>147</v>
      </c>
      <c r="C7" s="15" t="s">
        <v>110</v>
      </c>
      <c r="D7" s="15">
        <v>3</v>
      </c>
      <c r="E7" s="15" t="s">
        <v>52</v>
      </c>
      <c r="F7" s="15" t="s">
        <v>271</v>
      </c>
      <c r="G7" s="16"/>
      <c r="H7" s="16"/>
    </row>
    <row r="8" spans="1:8" ht="43.5" customHeight="1" x14ac:dyDescent="0.3">
      <c r="A8" s="15" t="s">
        <v>272</v>
      </c>
      <c r="B8" s="16" t="s">
        <v>147</v>
      </c>
      <c r="C8" s="15" t="s">
        <v>110</v>
      </c>
      <c r="D8" s="15">
        <v>4</v>
      </c>
      <c r="E8" s="15" t="s">
        <v>55</v>
      </c>
      <c r="F8" s="15" t="s">
        <v>273</v>
      </c>
      <c r="G8" s="16"/>
      <c r="H8" s="16"/>
    </row>
    <row r="9" spans="1:8" ht="43.5" customHeight="1" x14ac:dyDescent="0.3">
      <c r="A9" s="15" t="s">
        <v>274</v>
      </c>
      <c r="B9" s="16" t="s">
        <v>147</v>
      </c>
      <c r="C9" s="15" t="s">
        <v>110</v>
      </c>
      <c r="D9" s="15">
        <v>5</v>
      </c>
      <c r="E9" s="15" t="s">
        <v>58</v>
      </c>
      <c r="F9" s="15" t="s">
        <v>275</v>
      </c>
      <c r="G9" s="16"/>
      <c r="H9" s="16"/>
    </row>
    <row r="10" spans="1:8" ht="43.5" customHeight="1" x14ac:dyDescent="0.3">
      <c r="A10" s="15" t="s">
        <v>276</v>
      </c>
      <c r="B10" s="16" t="s">
        <v>147</v>
      </c>
      <c r="C10" s="15" t="s">
        <v>110</v>
      </c>
      <c r="D10" s="15">
        <v>6</v>
      </c>
      <c r="E10" s="15" t="s">
        <v>61</v>
      </c>
      <c r="F10" s="15" t="s">
        <v>277</v>
      </c>
      <c r="G10" s="16"/>
      <c r="H10" s="16"/>
    </row>
    <row r="11" spans="1:8" ht="43.5" customHeight="1" x14ac:dyDescent="0.3">
      <c r="A11" s="15" t="s">
        <v>278</v>
      </c>
      <c r="B11" s="16" t="s">
        <v>147</v>
      </c>
      <c r="C11" s="15" t="s">
        <v>110</v>
      </c>
      <c r="D11" s="15">
        <v>7</v>
      </c>
      <c r="E11" s="15" t="s">
        <v>64</v>
      </c>
      <c r="F11" s="15" t="s">
        <v>279</v>
      </c>
      <c r="G11" s="16"/>
      <c r="H11" s="16"/>
    </row>
    <row r="12" spans="1:8" ht="43.5" customHeight="1" x14ac:dyDescent="0.3">
      <c r="A12" s="15" t="s">
        <v>280</v>
      </c>
      <c r="B12" s="16" t="s">
        <v>147</v>
      </c>
      <c r="C12" s="15" t="s">
        <v>110</v>
      </c>
      <c r="D12" s="15">
        <v>8</v>
      </c>
      <c r="E12" s="15" t="s">
        <v>67</v>
      </c>
      <c r="F12" s="15" t="s">
        <v>281</v>
      </c>
      <c r="G12" s="16"/>
      <c r="H12" s="16"/>
    </row>
    <row r="13" spans="1:8" ht="43.5" customHeight="1" x14ac:dyDescent="0.3">
      <c r="A13" s="15" t="s">
        <v>282</v>
      </c>
      <c r="B13" s="16" t="s">
        <v>147</v>
      </c>
      <c r="C13" s="15" t="s">
        <v>110</v>
      </c>
      <c r="D13" s="15">
        <v>9</v>
      </c>
      <c r="E13" s="15" t="s">
        <v>70</v>
      </c>
      <c r="F13" s="15" t="s">
        <v>283</v>
      </c>
      <c r="G13" s="16"/>
      <c r="H13" s="16"/>
    </row>
    <row r="14" spans="1:8" ht="43.5" customHeight="1" x14ac:dyDescent="0.3">
      <c r="A14" s="15" t="s">
        <v>284</v>
      </c>
      <c r="B14" s="16" t="s">
        <v>147</v>
      </c>
      <c r="C14" s="15" t="s">
        <v>110</v>
      </c>
      <c r="D14" s="15">
        <v>10</v>
      </c>
      <c r="E14" s="15" t="s">
        <v>73</v>
      </c>
      <c r="F14" s="15" t="s">
        <v>285</v>
      </c>
      <c r="G14" s="16"/>
      <c r="H14" s="16"/>
    </row>
    <row r="15" spans="1:8" ht="43.5" customHeight="1" x14ac:dyDescent="0.3">
      <c r="A15" s="15" t="s">
        <v>286</v>
      </c>
      <c r="B15" s="16" t="s">
        <v>147</v>
      </c>
      <c r="C15" s="15" t="s">
        <v>110</v>
      </c>
      <c r="D15" s="15">
        <v>11</v>
      </c>
      <c r="E15" s="15" t="s">
        <v>76</v>
      </c>
      <c r="F15" s="15" t="s">
        <v>287</v>
      </c>
      <c r="G15" s="16"/>
      <c r="H15" s="16"/>
    </row>
    <row r="16" spans="1:8" ht="43.5" customHeight="1" x14ac:dyDescent="0.3">
      <c r="A16" s="15" t="s">
        <v>288</v>
      </c>
      <c r="B16" s="16" t="s">
        <v>147</v>
      </c>
      <c r="C16" s="15" t="s">
        <v>110</v>
      </c>
      <c r="D16" s="15">
        <v>12</v>
      </c>
      <c r="E16" s="15" t="s">
        <v>79</v>
      </c>
      <c r="F16" s="15" t="s">
        <v>289</v>
      </c>
      <c r="G16" s="16"/>
      <c r="H16" s="16"/>
    </row>
    <row r="17" spans="1:8" ht="43.5" customHeight="1" x14ac:dyDescent="0.3">
      <c r="A17" s="15" t="s">
        <v>290</v>
      </c>
      <c r="B17" s="16" t="s">
        <v>147</v>
      </c>
      <c r="C17" s="15" t="s">
        <v>110</v>
      </c>
      <c r="D17" s="15">
        <v>13</v>
      </c>
      <c r="E17" s="15" t="s">
        <v>82</v>
      </c>
      <c r="F17" s="15" t="s">
        <v>291</v>
      </c>
      <c r="G17" s="16"/>
      <c r="H17" s="16"/>
    </row>
    <row r="18" spans="1:8" ht="43.5" customHeight="1" x14ac:dyDescent="0.3">
      <c r="A18" s="15" t="s">
        <v>292</v>
      </c>
      <c r="B18" s="16" t="s">
        <v>147</v>
      </c>
      <c r="C18" s="15" t="s">
        <v>110</v>
      </c>
      <c r="D18" s="15">
        <v>14</v>
      </c>
      <c r="E18" s="15" t="s">
        <v>85</v>
      </c>
      <c r="F18" s="15" t="s">
        <v>293</v>
      </c>
      <c r="G18" s="16"/>
      <c r="H18" s="16"/>
    </row>
    <row r="19" spans="1:8" ht="43.5" customHeight="1" x14ac:dyDescent="0.3">
      <c r="A19" s="15" t="s">
        <v>294</v>
      </c>
      <c r="B19" s="16" t="s">
        <v>147</v>
      </c>
      <c r="C19" s="15" t="s">
        <v>110</v>
      </c>
      <c r="D19" s="15">
        <v>15</v>
      </c>
      <c r="E19" s="15" t="s">
        <v>88</v>
      </c>
      <c r="F19" s="15" t="s">
        <v>295</v>
      </c>
      <c r="G19" s="16"/>
      <c r="H19" s="16"/>
    </row>
    <row r="20" spans="1:8" ht="43.5" customHeight="1" x14ac:dyDescent="0.3">
      <c r="A20" s="15" t="s">
        <v>296</v>
      </c>
      <c r="B20" s="16" t="s">
        <v>147</v>
      </c>
      <c r="C20" s="15" t="s">
        <v>110</v>
      </c>
      <c r="D20" s="15">
        <v>16</v>
      </c>
      <c r="E20" s="15" t="s">
        <v>91</v>
      </c>
      <c r="F20" s="15" t="s">
        <v>297</v>
      </c>
      <c r="G20" s="16"/>
      <c r="H20" s="16"/>
    </row>
    <row r="21" spans="1:8" ht="43.5" customHeight="1" x14ac:dyDescent="0.3">
      <c r="A21" s="15" t="s">
        <v>298</v>
      </c>
      <c r="B21" s="16" t="s">
        <v>147</v>
      </c>
      <c r="C21" s="15" t="s">
        <v>110</v>
      </c>
      <c r="D21" s="15">
        <v>17</v>
      </c>
      <c r="E21" s="15" t="s">
        <v>94</v>
      </c>
      <c r="F21" s="15" t="s">
        <v>299</v>
      </c>
      <c r="G21" s="16"/>
      <c r="H21" s="16"/>
    </row>
    <row r="22" spans="1:8" ht="43.5" customHeight="1" x14ac:dyDescent="0.3">
      <c r="A22" s="15" t="s">
        <v>300</v>
      </c>
      <c r="B22" s="16" t="s">
        <v>147</v>
      </c>
      <c r="C22" s="15" t="s">
        <v>110</v>
      </c>
      <c r="D22" s="15">
        <v>18</v>
      </c>
      <c r="E22" s="15" t="s">
        <v>97</v>
      </c>
      <c r="F22" s="15" t="s">
        <v>301</v>
      </c>
      <c r="G22" s="16"/>
      <c r="H22" s="16"/>
    </row>
    <row r="23" spans="1:8" ht="43.5" customHeight="1" x14ac:dyDescent="0.3">
      <c r="A23" s="15" t="s">
        <v>302</v>
      </c>
      <c r="B23" s="16" t="s">
        <v>147</v>
      </c>
      <c r="C23" s="15" t="s">
        <v>110</v>
      </c>
      <c r="D23" s="15">
        <v>19</v>
      </c>
      <c r="E23" s="15" t="s">
        <v>100</v>
      </c>
      <c r="F23" s="15" t="s">
        <v>303</v>
      </c>
      <c r="G23" s="16"/>
      <c r="H23" s="16"/>
    </row>
    <row r="24" spans="1:8" ht="43.5" customHeight="1" x14ac:dyDescent="0.3">
      <c r="A24" s="15" t="s">
        <v>304</v>
      </c>
      <c r="B24" s="16" t="s">
        <v>147</v>
      </c>
      <c r="C24" s="15" t="s">
        <v>110</v>
      </c>
      <c r="D24" s="15">
        <v>20</v>
      </c>
      <c r="E24" s="15" t="s">
        <v>103</v>
      </c>
      <c r="F24" s="15" t="s">
        <v>305</v>
      </c>
      <c r="G24" s="16"/>
      <c r="H24" s="16"/>
    </row>
    <row r="25" spans="1:8" ht="43.5" customHeight="1" x14ac:dyDescent="0.3">
      <c r="A25" s="15" t="s">
        <v>306</v>
      </c>
      <c r="B25" s="16" t="s">
        <v>147</v>
      </c>
      <c r="C25" s="15" t="s">
        <v>111</v>
      </c>
      <c r="D25" s="15">
        <v>1</v>
      </c>
      <c r="E25" s="15" t="s">
        <v>46</v>
      </c>
      <c r="F25" s="15" t="s">
        <v>307</v>
      </c>
      <c r="G25" s="16"/>
      <c r="H25" s="16"/>
    </row>
    <row r="26" spans="1:8" ht="43.5" customHeight="1" x14ac:dyDescent="0.3">
      <c r="A26" s="15" t="s">
        <v>308</v>
      </c>
      <c r="B26" s="16" t="s">
        <v>147</v>
      </c>
      <c r="C26" s="15" t="s">
        <v>111</v>
      </c>
      <c r="D26" s="15">
        <v>2</v>
      </c>
      <c r="E26" s="15" t="s">
        <v>49</v>
      </c>
      <c r="F26" s="15" t="s">
        <v>309</v>
      </c>
      <c r="G26" s="16"/>
      <c r="H26" s="16"/>
    </row>
    <row r="27" spans="1:8" ht="43.5" customHeight="1" x14ac:dyDescent="0.3">
      <c r="A27" s="15" t="s">
        <v>310</v>
      </c>
      <c r="B27" s="16" t="s">
        <v>147</v>
      </c>
      <c r="C27" s="15" t="s">
        <v>111</v>
      </c>
      <c r="D27" s="15">
        <v>3</v>
      </c>
      <c r="E27" s="15" t="s">
        <v>52</v>
      </c>
      <c r="F27" s="15" t="s">
        <v>311</v>
      </c>
      <c r="G27" s="16"/>
      <c r="H27" s="16"/>
    </row>
    <row r="28" spans="1:8" ht="43.5" customHeight="1" x14ac:dyDescent="0.3">
      <c r="A28" s="15" t="s">
        <v>312</v>
      </c>
      <c r="B28" s="16" t="s">
        <v>147</v>
      </c>
      <c r="C28" s="15" t="s">
        <v>111</v>
      </c>
      <c r="D28" s="15">
        <v>4</v>
      </c>
      <c r="E28" s="15" t="s">
        <v>55</v>
      </c>
      <c r="F28" s="15" t="s">
        <v>313</v>
      </c>
      <c r="G28" s="16"/>
      <c r="H28" s="16"/>
    </row>
    <row r="29" spans="1:8" ht="43.5" customHeight="1" x14ac:dyDescent="0.3">
      <c r="A29" s="15" t="s">
        <v>314</v>
      </c>
      <c r="B29" s="16" t="s">
        <v>147</v>
      </c>
      <c r="C29" s="15" t="s">
        <v>111</v>
      </c>
      <c r="D29" s="15">
        <v>5</v>
      </c>
      <c r="E29" s="15" t="s">
        <v>58</v>
      </c>
      <c r="F29" s="15" t="s">
        <v>315</v>
      </c>
      <c r="G29" s="16"/>
      <c r="H29" s="16"/>
    </row>
    <row r="30" spans="1:8" ht="43.5" customHeight="1" x14ac:dyDescent="0.3">
      <c r="A30" s="15" t="s">
        <v>316</v>
      </c>
      <c r="B30" s="16" t="s">
        <v>147</v>
      </c>
      <c r="C30" s="15" t="s">
        <v>111</v>
      </c>
      <c r="D30" s="15">
        <v>6</v>
      </c>
      <c r="E30" s="15" t="s">
        <v>61</v>
      </c>
      <c r="F30" s="15" t="s">
        <v>317</v>
      </c>
      <c r="G30" s="16"/>
      <c r="H30" s="16"/>
    </row>
    <row r="31" spans="1:8" ht="43.5" customHeight="1" x14ac:dyDescent="0.3">
      <c r="A31" s="15" t="s">
        <v>318</v>
      </c>
      <c r="B31" s="16" t="s">
        <v>147</v>
      </c>
      <c r="C31" s="15" t="s">
        <v>111</v>
      </c>
      <c r="D31" s="15">
        <v>7</v>
      </c>
      <c r="E31" s="15" t="s">
        <v>64</v>
      </c>
      <c r="F31" s="15" t="s">
        <v>319</v>
      </c>
      <c r="G31" s="16"/>
      <c r="H31" s="16"/>
    </row>
    <row r="32" spans="1:8" ht="43.5" customHeight="1" x14ac:dyDescent="0.3">
      <c r="A32" s="15" t="s">
        <v>320</v>
      </c>
      <c r="B32" s="16" t="s">
        <v>147</v>
      </c>
      <c r="C32" s="15" t="s">
        <v>111</v>
      </c>
      <c r="D32" s="15">
        <v>8</v>
      </c>
      <c r="E32" s="15" t="s">
        <v>67</v>
      </c>
      <c r="F32" s="15" t="s">
        <v>321</v>
      </c>
      <c r="G32" s="16"/>
      <c r="H32" s="16"/>
    </row>
    <row r="33" spans="1:8" ht="43.5" customHeight="1" x14ac:dyDescent="0.3">
      <c r="A33" s="15" t="s">
        <v>322</v>
      </c>
      <c r="B33" s="16" t="s">
        <v>147</v>
      </c>
      <c r="C33" s="15" t="s">
        <v>111</v>
      </c>
      <c r="D33" s="15">
        <v>9</v>
      </c>
      <c r="E33" s="15" t="s">
        <v>70</v>
      </c>
      <c r="F33" s="15" t="s">
        <v>323</v>
      </c>
      <c r="G33" s="16"/>
      <c r="H33" s="16"/>
    </row>
    <row r="34" spans="1:8" ht="43.5" customHeight="1" x14ac:dyDescent="0.3">
      <c r="A34" s="15" t="s">
        <v>324</v>
      </c>
      <c r="B34" s="16" t="s">
        <v>147</v>
      </c>
      <c r="C34" s="15" t="s">
        <v>111</v>
      </c>
      <c r="D34" s="15">
        <v>10</v>
      </c>
      <c r="E34" s="15" t="s">
        <v>73</v>
      </c>
      <c r="F34" s="15" t="s">
        <v>325</v>
      </c>
      <c r="G34" s="16"/>
      <c r="H34" s="16"/>
    </row>
    <row r="35" spans="1:8" ht="43.5" customHeight="1" x14ac:dyDescent="0.3">
      <c r="A35" s="15" t="s">
        <v>326</v>
      </c>
      <c r="B35" s="16" t="s">
        <v>147</v>
      </c>
      <c r="C35" s="15" t="s">
        <v>111</v>
      </c>
      <c r="D35" s="15">
        <v>11</v>
      </c>
      <c r="E35" s="15" t="s">
        <v>76</v>
      </c>
      <c r="F35" s="15" t="s">
        <v>327</v>
      </c>
      <c r="G35" s="16"/>
      <c r="H35" s="16"/>
    </row>
    <row r="36" spans="1:8" ht="43.5" customHeight="1" x14ac:dyDescent="0.3">
      <c r="A36" s="15" t="s">
        <v>328</v>
      </c>
      <c r="B36" s="16" t="s">
        <v>147</v>
      </c>
      <c r="C36" s="15" t="s">
        <v>111</v>
      </c>
      <c r="D36" s="15">
        <v>12</v>
      </c>
      <c r="E36" s="15" t="s">
        <v>79</v>
      </c>
      <c r="F36" s="15" t="s">
        <v>329</v>
      </c>
      <c r="G36" s="16"/>
      <c r="H36" s="16"/>
    </row>
    <row r="37" spans="1:8" ht="43.5" customHeight="1" x14ac:dyDescent="0.3">
      <c r="A37" s="15" t="s">
        <v>330</v>
      </c>
      <c r="B37" s="16" t="s">
        <v>147</v>
      </c>
      <c r="C37" s="15" t="s">
        <v>111</v>
      </c>
      <c r="D37" s="15">
        <v>13</v>
      </c>
      <c r="E37" s="15" t="s">
        <v>82</v>
      </c>
      <c r="F37" s="15" t="s">
        <v>331</v>
      </c>
      <c r="G37" s="16"/>
      <c r="H37" s="16"/>
    </row>
    <row r="38" spans="1:8" ht="43.5" customHeight="1" x14ac:dyDescent="0.3">
      <c r="A38" s="15" t="s">
        <v>332</v>
      </c>
      <c r="B38" s="16" t="s">
        <v>147</v>
      </c>
      <c r="C38" s="15" t="s">
        <v>111</v>
      </c>
      <c r="D38" s="15">
        <v>14</v>
      </c>
      <c r="E38" s="15" t="s">
        <v>85</v>
      </c>
      <c r="F38" s="15" t="s">
        <v>333</v>
      </c>
      <c r="G38" s="16"/>
      <c r="H38" s="16"/>
    </row>
    <row r="39" spans="1:8" ht="43.5" customHeight="1" x14ac:dyDescent="0.3">
      <c r="A39" s="15" t="s">
        <v>334</v>
      </c>
      <c r="B39" s="16" t="s">
        <v>147</v>
      </c>
      <c r="C39" s="15" t="s">
        <v>111</v>
      </c>
      <c r="D39" s="15">
        <v>15</v>
      </c>
      <c r="E39" s="15" t="s">
        <v>88</v>
      </c>
      <c r="F39" s="15" t="s">
        <v>335</v>
      </c>
      <c r="G39" s="16"/>
      <c r="H39" s="16"/>
    </row>
    <row r="40" spans="1:8" ht="43.5" customHeight="1" x14ac:dyDescent="0.3">
      <c r="A40" s="15" t="s">
        <v>336</v>
      </c>
      <c r="B40" s="16" t="s">
        <v>147</v>
      </c>
      <c r="C40" s="15" t="s">
        <v>111</v>
      </c>
      <c r="D40" s="15">
        <v>16</v>
      </c>
      <c r="E40" s="15" t="s">
        <v>91</v>
      </c>
      <c r="F40" s="15" t="s">
        <v>337</v>
      </c>
      <c r="G40" s="16"/>
      <c r="H40" s="16"/>
    </row>
    <row r="41" spans="1:8" ht="43.5" customHeight="1" x14ac:dyDescent="0.3">
      <c r="A41" s="15" t="s">
        <v>338</v>
      </c>
      <c r="B41" s="16" t="s">
        <v>147</v>
      </c>
      <c r="C41" s="15" t="s">
        <v>111</v>
      </c>
      <c r="D41" s="15">
        <v>17</v>
      </c>
      <c r="E41" s="15" t="s">
        <v>94</v>
      </c>
      <c r="F41" s="15" t="s">
        <v>339</v>
      </c>
      <c r="G41" s="16"/>
      <c r="H41" s="16"/>
    </row>
    <row r="42" spans="1:8" ht="43.5" customHeight="1" x14ac:dyDescent="0.3">
      <c r="A42" s="15" t="s">
        <v>340</v>
      </c>
      <c r="B42" s="16" t="s">
        <v>147</v>
      </c>
      <c r="C42" s="15" t="s">
        <v>111</v>
      </c>
      <c r="D42" s="15">
        <v>18</v>
      </c>
      <c r="E42" s="15" t="s">
        <v>97</v>
      </c>
      <c r="F42" s="15" t="s">
        <v>341</v>
      </c>
      <c r="G42" s="16"/>
      <c r="H42" s="16"/>
    </row>
    <row r="43" spans="1:8" ht="43.5" customHeight="1" x14ac:dyDescent="0.3">
      <c r="A43" s="15" t="s">
        <v>342</v>
      </c>
      <c r="B43" s="16" t="s">
        <v>147</v>
      </c>
      <c r="C43" s="15" t="s">
        <v>111</v>
      </c>
      <c r="D43" s="15">
        <v>19</v>
      </c>
      <c r="E43" s="15" t="s">
        <v>100</v>
      </c>
      <c r="F43" s="15" t="s">
        <v>343</v>
      </c>
      <c r="G43" s="16"/>
      <c r="H43" s="16"/>
    </row>
    <row r="44" spans="1:8" ht="43.5" customHeight="1" x14ac:dyDescent="0.3">
      <c r="A44" s="15" t="s">
        <v>344</v>
      </c>
      <c r="B44" s="16" t="s">
        <v>147</v>
      </c>
      <c r="C44" s="15" t="s">
        <v>111</v>
      </c>
      <c r="D44" s="15">
        <v>20</v>
      </c>
      <c r="E44" s="15" t="s">
        <v>103</v>
      </c>
      <c r="F44" s="15" t="s">
        <v>345</v>
      </c>
      <c r="G44" s="16"/>
      <c r="H44" s="16"/>
    </row>
  </sheetData>
  <dataValidations count="1">
    <dataValidation type="list" allowBlank="1" sqref="B5:B44">
      <formula1>"S1,S2,S3,S4"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showGridLines="0" zoomScaleNormal="100" workbookViewId="0">
      <selection activeCell="H10" sqref="H10"/>
    </sheetView>
  </sheetViews>
  <sheetFormatPr defaultColWidth="8.6640625" defaultRowHeight="14.4" x14ac:dyDescent="0.3"/>
  <cols>
    <col min="1" max="1" width="46" customWidth="1"/>
    <col min="2" max="2" width="18" customWidth="1"/>
    <col min="3" max="3" width="20" customWidth="1"/>
    <col min="4" max="4" width="18" customWidth="1"/>
    <col min="5" max="6" width="20" customWidth="1"/>
  </cols>
  <sheetData>
    <row r="1" spans="1:6" ht="17.399999999999999" x14ac:dyDescent="0.3">
      <c r="A1" s="1" t="s">
        <v>346</v>
      </c>
    </row>
    <row r="3" spans="1:6" x14ac:dyDescent="0.3">
      <c r="A3" s="3" t="s">
        <v>347</v>
      </c>
      <c r="B3" s="4"/>
      <c r="C3" s="4"/>
      <c r="D3" s="4"/>
      <c r="E3" s="4"/>
      <c r="F3" s="4"/>
    </row>
    <row r="4" spans="1:6" ht="31.5" customHeight="1" x14ac:dyDescent="0.3">
      <c r="A4" s="10" t="s">
        <v>135</v>
      </c>
      <c r="B4" s="10" t="s">
        <v>348</v>
      </c>
      <c r="C4" s="10" t="s">
        <v>349</v>
      </c>
      <c r="D4" s="10" t="s">
        <v>350</v>
      </c>
      <c r="E4" s="10" t="s">
        <v>351</v>
      </c>
      <c r="F4" s="10" t="s">
        <v>352</v>
      </c>
    </row>
    <row r="5" spans="1:6" x14ac:dyDescent="0.3">
      <c r="A5" s="17" t="s">
        <v>110</v>
      </c>
      <c r="B5" s="11">
        <f>COUNTIFS('Keyword Test'!$D$5:$D$84,A5,'Keyword Test'!$J$5:$J$84,"Yes")+COUNTIFS('Keyword Test'!$D$5:$D$84,A5,'Keyword Test'!$J$5:$J$84,"No")</f>
        <v>40</v>
      </c>
      <c r="C5" s="11">
        <f>COUNTIFS('Keyword Test'!$D$5:$D$84,A5,'Keyword Test'!$J$5:$J$84,"Yes")</f>
        <v>36</v>
      </c>
      <c r="D5" s="18">
        <f>IF(B5=0,"",C5/B5)</f>
        <v>0.9</v>
      </c>
      <c r="E5" s="19">
        <v>0.9</v>
      </c>
      <c r="F5" s="20" t="str">
        <f>IF(D5="","",IF(D5&gt;=E5,"Met","Not met"))</f>
        <v>Met</v>
      </c>
    </row>
    <row r="6" spans="1:6" x14ac:dyDescent="0.3">
      <c r="A6" s="17" t="s">
        <v>111</v>
      </c>
      <c r="B6" s="11">
        <f>COUNTIFS('Keyword Test'!$D$5:$D$84,A6,'Keyword Test'!$J$5:$J$84,"Yes")+COUNTIFS('Keyword Test'!$D$5:$D$84,A6,'Keyword Test'!$J$5:$J$84,"No")</f>
        <v>20</v>
      </c>
      <c r="C6" s="11">
        <f>COUNTIFS('Keyword Test'!$D$5:$D$84,A6,'Keyword Test'!$J$5:$J$84,"Yes")</f>
        <v>18</v>
      </c>
      <c r="D6" s="18">
        <f>IF(B6=0,"",C6/B6)</f>
        <v>0.9</v>
      </c>
      <c r="E6" s="19">
        <v>0.8</v>
      </c>
      <c r="F6" s="20" t="str">
        <f>IF(D6="","",IF(D6&gt;=E6,"Met","Not met"))</f>
        <v>Met</v>
      </c>
    </row>
    <row r="7" spans="1:6" x14ac:dyDescent="0.3">
      <c r="A7" s="17" t="s">
        <v>353</v>
      </c>
      <c r="B7" s="11">
        <f>B5+B6</f>
        <v>60</v>
      </c>
      <c r="C7" s="11">
        <f>C5+C6</f>
        <v>54</v>
      </c>
      <c r="D7" s="18">
        <f>IF(B7=0,"",C7/B7)</f>
        <v>0.9</v>
      </c>
      <c r="E7" s="11"/>
      <c r="F7" s="11"/>
    </row>
    <row r="8" spans="1:6" x14ac:dyDescent="0.3">
      <c r="A8" s="2" t="s">
        <v>354</v>
      </c>
    </row>
    <row r="10" spans="1:6" x14ac:dyDescent="0.3">
      <c r="A10" s="3" t="s">
        <v>355</v>
      </c>
      <c r="B10" s="4"/>
      <c r="C10" s="4"/>
      <c r="D10" s="4"/>
      <c r="E10" s="4"/>
    </row>
    <row r="11" spans="1:6" ht="31.5" customHeight="1" x14ac:dyDescent="0.3">
      <c r="A11" s="10" t="s">
        <v>356</v>
      </c>
      <c r="B11" s="10" t="s">
        <v>357</v>
      </c>
      <c r="C11" s="10" t="s">
        <v>358</v>
      </c>
      <c r="D11" s="10" t="s">
        <v>359</v>
      </c>
      <c r="E11" s="10" t="s">
        <v>360</v>
      </c>
    </row>
    <row r="12" spans="1:6" x14ac:dyDescent="0.3">
      <c r="A12" s="17" t="s">
        <v>112</v>
      </c>
      <c r="B12" s="11">
        <f>COUNTIFS('Command Test'!$C$5:$C$28,"English",'Command Test'!$D$5:$D$28,$A12,'Command Test'!$H$5:$H$28,"Yes")+COUNTIFS('Command Test'!$C$5:$C$28,"English",'Command Test'!$D$5:$D$28,$A12,'Command Test'!$H$5:$H$28,"No")</f>
        <v>0</v>
      </c>
      <c r="C12" s="18" t="str">
        <f>IF(B12=0,"",COUNTIFS('Command Test'!$C$5:$C$28,"English",'Command Test'!$D$5:$D$28,$A12,'Command Test'!$H$5:$H$28,"Yes")/B12)</f>
        <v/>
      </c>
      <c r="D12" s="11">
        <f>COUNTIFS('Command Test'!$C$5:$C$28,"Nyanja",'Command Test'!$D$5:$D$28,$A12,'Command Test'!$H$5:$H$28,"Yes")+COUNTIFS('Command Test'!$C$5:$C$28,"Nyanja",'Command Test'!$D$5:$D$28,$A12,'Command Test'!$H$5:$H$28,"No")</f>
        <v>0</v>
      </c>
      <c r="E12" s="18" t="str">
        <f>IF(D12=0,"",COUNTIFS('Command Test'!$C$5:$C$28,"Nyanja",'Command Test'!$D$5:$D$28,$A12,'Command Test'!$H$5:$H$28,"Yes")/D12)</f>
        <v/>
      </c>
    </row>
    <row r="13" spans="1:6" x14ac:dyDescent="0.3">
      <c r="A13" s="17" t="s">
        <v>115</v>
      </c>
      <c r="B13" s="11">
        <f>COUNTIFS('Command Test'!$C$5:$C$28,"English",'Command Test'!$D$5:$D$28,$A13,'Command Test'!$H$5:$H$28,"Yes")+COUNTIFS('Command Test'!$C$5:$C$28,"English",'Command Test'!$D$5:$D$28,$A13,'Command Test'!$H$5:$H$28,"No")</f>
        <v>0</v>
      </c>
      <c r="C13" s="18" t="str">
        <f>IF(B13=0,"",COUNTIFS('Command Test'!$C$5:$C$28,"English",'Command Test'!$D$5:$D$28,$A13,'Command Test'!$H$5:$H$28,"Yes")/B13)</f>
        <v/>
      </c>
      <c r="D13" s="11">
        <f>COUNTIFS('Command Test'!$C$5:$C$28,"Nyanja",'Command Test'!$D$5:$D$28,$A13,'Command Test'!$H$5:$H$28,"Yes")+COUNTIFS('Command Test'!$C$5:$C$28,"Nyanja",'Command Test'!$D$5:$D$28,$A13,'Command Test'!$H$5:$H$28,"No")</f>
        <v>0</v>
      </c>
      <c r="E13" s="18" t="str">
        <f>IF(D13=0,"",COUNTIFS('Command Test'!$C$5:$C$28,"Nyanja",'Command Test'!$D$5:$D$28,$A13,'Command Test'!$H$5:$H$28,"Yes")/D13)</f>
        <v/>
      </c>
    </row>
    <row r="14" spans="1:6" x14ac:dyDescent="0.3">
      <c r="A14" s="17" t="s">
        <v>118</v>
      </c>
      <c r="B14" s="11">
        <f>COUNTIFS('Command Test'!$C$5:$C$28,"English",'Command Test'!$D$5:$D$28,$A14,'Command Test'!$H$5:$H$28,"Yes")+COUNTIFS('Command Test'!$C$5:$C$28,"English",'Command Test'!$D$5:$D$28,$A14,'Command Test'!$H$5:$H$28,"No")</f>
        <v>0</v>
      </c>
      <c r="C14" s="18" t="str">
        <f>IF(B14=0,"",COUNTIFS('Command Test'!$C$5:$C$28,"English",'Command Test'!$D$5:$D$28,$A14,'Command Test'!$H$5:$H$28,"Yes")/B14)</f>
        <v/>
      </c>
      <c r="D14" s="11">
        <f>COUNTIFS('Command Test'!$C$5:$C$28,"Nyanja",'Command Test'!$D$5:$D$28,$A14,'Command Test'!$H$5:$H$28,"Yes")+COUNTIFS('Command Test'!$C$5:$C$28,"Nyanja",'Command Test'!$D$5:$D$28,$A14,'Command Test'!$H$5:$H$28,"No")</f>
        <v>0</v>
      </c>
      <c r="E14" s="18" t="str">
        <f>IF(D14=0,"",COUNTIFS('Command Test'!$C$5:$C$28,"Nyanja",'Command Test'!$D$5:$D$28,$A14,'Command Test'!$H$5:$H$28,"Yes")/D14)</f>
        <v/>
      </c>
    </row>
    <row r="15" spans="1:6" x14ac:dyDescent="0.3">
      <c r="A15" s="17" t="s">
        <v>121</v>
      </c>
      <c r="B15" s="11">
        <f>COUNTIFS('Command Test'!$C$5:$C$28,"English",'Command Test'!$D$5:$D$28,$A15,'Command Test'!$H$5:$H$28,"Yes")+COUNTIFS('Command Test'!$C$5:$C$28,"English",'Command Test'!$D$5:$D$28,$A15,'Command Test'!$H$5:$H$28,"No")</f>
        <v>0</v>
      </c>
      <c r="C15" s="18" t="str">
        <f>IF(B15=0,"",COUNTIFS('Command Test'!$C$5:$C$28,"English",'Command Test'!$D$5:$D$28,$A15,'Command Test'!$H$5:$H$28,"Yes")/B15)</f>
        <v/>
      </c>
      <c r="D15" s="11">
        <f>COUNTIFS('Command Test'!$C$5:$C$28,"Nyanja",'Command Test'!$D$5:$D$28,$A15,'Command Test'!$H$5:$H$28,"Yes")+COUNTIFS('Command Test'!$C$5:$C$28,"Nyanja",'Command Test'!$D$5:$D$28,$A15,'Command Test'!$H$5:$H$28,"No")</f>
        <v>0</v>
      </c>
      <c r="E15" s="18" t="str">
        <f>IF(D15=0,"",COUNTIFS('Command Test'!$C$5:$C$28,"Nyanja",'Command Test'!$D$5:$D$28,$A15,'Command Test'!$H$5:$H$28,"Yes")/D15)</f>
        <v/>
      </c>
    </row>
    <row r="16" spans="1:6" x14ac:dyDescent="0.3">
      <c r="A16" s="17" t="s">
        <v>124</v>
      </c>
      <c r="B16" s="11">
        <f>COUNTIFS('Command Test'!$C$5:$C$28,"English",'Command Test'!$D$5:$D$28,$A16,'Command Test'!$H$5:$H$28,"Yes")+COUNTIFS('Command Test'!$C$5:$C$28,"English",'Command Test'!$D$5:$D$28,$A16,'Command Test'!$H$5:$H$28,"No")</f>
        <v>0</v>
      </c>
      <c r="C16" s="18" t="str">
        <f>IF(B16=0,"",COUNTIFS('Command Test'!$C$5:$C$28,"English",'Command Test'!$D$5:$D$28,$A16,'Command Test'!$H$5:$H$28,"Yes")/B16)</f>
        <v/>
      </c>
      <c r="D16" s="11">
        <f>COUNTIFS('Command Test'!$C$5:$C$28,"Nyanja",'Command Test'!$D$5:$D$28,$A16,'Command Test'!$H$5:$H$28,"Yes")+COUNTIFS('Command Test'!$C$5:$C$28,"Nyanja",'Command Test'!$D$5:$D$28,$A16,'Command Test'!$H$5:$H$28,"No")</f>
        <v>0</v>
      </c>
      <c r="E16" s="18" t="str">
        <f>IF(D16=0,"",COUNTIFS('Command Test'!$C$5:$C$28,"Nyanja",'Command Test'!$D$5:$D$28,$A16,'Command Test'!$H$5:$H$28,"Yes")/D16)</f>
        <v/>
      </c>
    </row>
    <row r="17" spans="1:5" x14ac:dyDescent="0.3">
      <c r="A17" s="17" t="s">
        <v>127</v>
      </c>
      <c r="B17" s="11">
        <f>COUNTIFS('Command Test'!$C$5:$C$28,"English",'Command Test'!$D$5:$D$28,$A17,'Command Test'!$H$5:$H$28,"Yes")+COUNTIFS('Command Test'!$C$5:$C$28,"English",'Command Test'!$D$5:$D$28,$A17,'Command Test'!$H$5:$H$28,"No")</f>
        <v>0</v>
      </c>
      <c r="C17" s="18" t="str">
        <f>IF(B17=0,"",COUNTIFS('Command Test'!$C$5:$C$28,"English",'Command Test'!$D$5:$D$28,$A17,'Command Test'!$H$5:$H$28,"Yes")/B17)</f>
        <v/>
      </c>
      <c r="D17" s="11">
        <f>COUNTIFS('Command Test'!$C$5:$C$28,"Nyanja",'Command Test'!$D$5:$D$28,$A17,'Command Test'!$H$5:$H$28,"Yes")+COUNTIFS('Command Test'!$C$5:$C$28,"Nyanja",'Command Test'!$D$5:$D$28,$A17,'Command Test'!$H$5:$H$28,"No")</f>
        <v>0</v>
      </c>
      <c r="E17" s="18" t="str">
        <f>IF(D17=0,"",COUNTIFS('Command Test'!$C$5:$C$28,"Nyanja",'Command Test'!$D$5:$D$28,$A17,'Command Test'!$H$5:$H$28,"Yes")/D17)</f>
        <v/>
      </c>
    </row>
    <row r="18" spans="1:5" x14ac:dyDescent="0.3">
      <c r="A18" s="17" t="s">
        <v>361</v>
      </c>
      <c r="B18" s="11">
        <f>SUM(B12:B17)</f>
        <v>0</v>
      </c>
      <c r="C18" s="18" t="str">
        <f>IF(B18=0,"",COUNTIFS('Command Test'!$C$5:$C$28,"English",'Command Test'!$H$5:$H$28,"Yes")/B18)</f>
        <v/>
      </c>
      <c r="D18" s="11">
        <f>SUM(D12:D17)</f>
        <v>0</v>
      </c>
      <c r="E18" s="18" t="str">
        <f>IF(D18=0,"",COUNTIFS('Command Test'!$C$5:$C$28,"Nyanja",'Command Test'!$H$5:$H$28,"Yes")/D18)</f>
        <v/>
      </c>
    </row>
    <row r="20" spans="1:5" x14ac:dyDescent="0.3">
      <c r="A20" s="3" t="s">
        <v>362</v>
      </c>
      <c r="B20" s="4"/>
      <c r="C20" s="4"/>
      <c r="D20" s="4"/>
      <c r="E20" s="4"/>
    </row>
    <row r="21" spans="1:5" ht="31.5" customHeight="1" x14ac:dyDescent="0.3">
      <c r="A21" s="10" t="s">
        <v>43</v>
      </c>
      <c r="B21" s="10" t="s">
        <v>357</v>
      </c>
      <c r="C21" s="10" t="s">
        <v>358</v>
      </c>
      <c r="D21" s="10" t="s">
        <v>359</v>
      </c>
      <c r="E21" s="10" t="s">
        <v>360</v>
      </c>
    </row>
    <row r="22" spans="1:5" x14ac:dyDescent="0.3">
      <c r="A22" s="17" t="str">
        <f>Keywords!B5</f>
        <v>Pregnancy</v>
      </c>
      <c r="B22" s="11">
        <f>COUNTIFS('Keyword Test'!$D$5:$D$84,"English",'Keyword Test'!$F$5:$F$84,$A22,'Keyword Test'!$J$5:$J$84,"Yes")+COUNTIFS('Keyword Test'!$D$5:$D$84,"English",'Keyword Test'!$F$5:$F$84,$A22,'Keyword Test'!$J$5:$J$84,"No")</f>
        <v>2</v>
      </c>
      <c r="C22" s="18">
        <f>IF(B22=0,"",COUNTIFS('Keyword Test'!$D$5:$D$84,"English",'Keyword Test'!$F$5:$F$84,$A22,'Keyword Test'!$J$5:$J$84,"Yes")/B22)</f>
        <v>1</v>
      </c>
      <c r="D22" s="11">
        <f>COUNTIFS('Keyword Test'!$D$5:$D$84,"Nyanja",'Keyword Test'!$F$5:$F$84,$A22,'Keyword Test'!$J$5:$J$84,"Yes")+COUNTIFS('Keyword Test'!$D$5:$D$84,"Nyanja",'Keyword Test'!$F$5:$F$84,$A22,'Keyword Test'!$J$5:$J$84,"No")</f>
        <v>1</v>
      </c>
      <c r="E22" s="18">
        <f>IF(D22=0,"",COUNTIFS('Keyword Test'!$D$5:$D$84,"Nyanja",'Keyword Test'!$F$5:$F$84,$A22,'Keyword Test'!$J$5:$J$84,"Yes")/D22)</f>
        <v>1</v>
      </c>
    </row>
    <row r="23" spans="1:5" x14ac:dyDescent="0.3">
      <c r="A23" s="17" t="str">
        <f>Keywords!B6</f>
        <v>Clinic</v>
      </c>
      <c r="B23" s="11">
        <f>COUNTIFS('Keyword Test'!$D$5:$D$84,"English",'Keyword Test'!$F$5:$F$84,$A23,'Keyword Test'!$J$5:$J$84,"Yes")+COUNTIFS('Keyword Test'!$D$5:$D$84,"English",'Keyword Test'!$F$5:$F$84,$A23,'Keyword Test'!$J$5:$J$84,"No")</f>
        <v>2</v>
      </c>
      <c r="C23" s="18">
        <f>IF(B23=0,"",COUNTIFS('Keyword Test'!$D$5:$D$84,"English",'Keyword Test'!$F$5:$F$84,$A23,'Keyword Test'!$J$5:$J$84,"Yes")/B23)</f>
        <v>1</v>
      </c>
      <c r="D23" s="11">
        <f>COUNTIFS('Keyword Test'!$D$5:$D$84,"Nyanja",'Keyword Test'!$F$5:$F$84,$A23,'Keyword Test'!$J$5:$J$84,"Yes")+COUNTIFS('Keyword Test'!$D$5:$D$84,"Nyanja",'Keyword Test'!$F$5:$F$84,$A23,'Keyword Test'!$J$5:$J$84,"No")</f>
        <v>1</v>
      </c>
      <c r="E23" s="18">
        <f>IF(D23=0,"",COUNTIFS('Keyword Test'!$D$5:$D$84,"Nyanja",'Keyword Test'!$F$5:$F$84,$A23,'Keyword Test'!$J$5:$J$84,"Yes")/D23)</f>
        <v>1</v>
      </c>
    </row>
    <row r="24" spans="1:5" x14ac:dyDescent="0.3">
      <c r="A24" s="17" t="str">
        <f>Keywords!B7</f>
        <v>Food</v>
      </c>
      <c r="B24" s="11">
        <f>COUNTIFS('Keyword Test'!$D$5:$D$84,"English",'Keyword Test'!$F$5:$F$84,$A24,'Keyword Test'!$J$5:$J$84,"Yes")+COUNTIFS('Keyword Test'!$D$5:$D$84,"English",'Keyword Test'!$F$5:$F$84,$A24,'Keyword Test'!$J$5:$J$84,"No")</f>
        <v>2</v>
      </c>
      <c r="C24" s="18">
        <f>IF(B24=0,"",COUNTIFS('Keyword Test'!$D$5:$D$84,"English",'Keyword Test'!$F$5:$F$84,$A24,'Keyword Test'!$J$5:$J$84,"Yes")/B24)</f>
        <v>1</v>
      </c>
      <c r="D24" s="11">
        <f>COUNTIFS('Keyword Test'!$D$5:$D$84,"Nyanja",'Keyword Test'!$F$5:$F$84,$A24,'Keyword Test'!$J$5:$J$84,"Yes")+COUNTIFS('Keyword Test'!$D$5:$D$84,"Nyanja",'Keyword Test'!$F$5:$F$84,$A24,'Keyword Test'!$J$5:$J$84,"No")</f>
        <v>1</v>
      </c>
      <c r="E24" s="18">
        <f>IF(D24=0,"",COUNTIFS('Keyword Test'!$D$5:$D$84,"Nyanja",'Keyword Test'!$F$5:$F$84,$A24,'Keyword Test'!$J$5:$J$84,"Yes")/D24)</f>
        <v>1</v>
      </c>
    </row>
    <row r="25" spans="1:5" x14ac:dyDescent="0.3">
      <c r="A25" s="17" t="str">
        <f>Keywords!B8</f>
        <v>Danger</v>
      </c>
      <c r="B25" s="11">
        <f>COUNTIFS('Keyword Test'!$D$5:$D$84,"English",'Keyword Test'!$F$5:$F$84,$A25,'Keyword Test'!$J$5:$J$84,"Yes")+COUNTIFS('Keyword Test'!$D$5:$D$84,"English",'Keyword Test'!$F$5:$F$84,$A25,'Keyword Test'!$J$5:$J$84,"No")</f>
        <v>2</v>
      </c>
      <c r="C25" s="18">
        <f>IF(B25=0,"",COUNTIFS('Keyword Test'!$D$5:$D$84,"English",'Keyword Test'!$F$5:$F$84,$A25,'Keyword Test'!$J$5:$J$84,"Yes")/B25)</f>
        <v>1</v>
      </c>
      <c r="D25" s="11">
        <f>COUNTIFS('Keyword Test'!$D$5:$D$84,"Nyanja",'Keyword Test'!$F$5:$F$84,$A25,'Keyword Test'!$J$5:$J$84,"Yes")+COUNTIFS('Keyword Test'!$D$5:$D$84,"Nyanja",'Keyword Test'!$F$5:$F$84,$A25,'Keyword Test'!$J$5:$J$84,"No")</f>
        <v>1</v>
      </c>
      <c r="E25" s="18">
        <f>IF(D25=0,"",COUNTIFS('Keyword Test'!$D$5:$D$84,"Nyanja",'Keyword Test'!$F$5:$F$84,$A25,'Keyword Test'!$J$5:$J$84,"Yes")/D25)</f>
        <v>1</v>
      </c>
    </row>
    <row r="26" spans="1:5" x14ac:dyDescent="0.3">
      <c r="A26" s="17" t="str">
        <f>Keywords!B9</f>
        <v>Bleeding</v>
      </c>
      <c r="B26" s="11">
        <f>COUNTIFS('Keyword Test'!$D$5:$D$84,"English",'Keyword Test'!$F$5:$F$84,$A26,'Keyword Test'!$J$5:$J$84,"Yes")+COUNTIFS('Keyword Test'!$D$5:$D$84,"English",'Keyword Test'!$F$5:$F$84,$A26,'Keyword Test'!$J$5:$J$84,"No")</f>
        <v>2</v>
      </c>
      <c r="C26" s="18">
        <f>IF(B26=0,"",COUNTIFS('Keyword Test'!$D$5:$D$84,"English",'Keyword Test'!$F$5:$F$84,$A26,'Keyword Test'!$J$5:$J$84,"Yes")/B26)</f>
        <v>1</v>
      </c>
      <c r="D26" s="11">
        <f>COUNTIFS('Keyword Test'!$D$5:$D$84,"Nyanja",'Keyword Test'!$F$5:$F$84,$A26,'Keyword Test'!$J$5:$J$84,"Yes")+COUNTIFS('Keyword Test'!$D$5:$D$84,"Nyanja",'Keyword Test'!$F$5:$F$84,$A26,'Keyword Test'!$J$5:$J$84,"No")</f>
        <v>1</v>
      </c>
      <c r="E26" s="18">
        <f>IF(D26=0,"",COUNTIFS('Keyword Test'!$D$5:$D$84,"Nyanja",'Keyword Test'!$F$5:$F$84,$A26,'Keyword Test'!$J$5:$J$84,"Yes")/D26)</f>
        <v>1</v>
      </c>
    </row>
    <row r="27" spans="1:5" x14ac:dyDescent="0.3">
      <c r="A27" s="17" t="str">
        <f>Keywords!B10</f>
        <v>Labour</v>
      </c>
      <c r="B27" s="11">
        <f>COUNTIFS('Keyword Test'!$D$5:$D$84,"English",'Keyword Test'!$F$5:$F$84,$A27,'Keyword Test'!$J$5:$J$84,"Yes")+COUNTIFS('Keyword Test'!$D$5:$D$84,"English",'Keyword Test'!$F$5:$F$84,$A27,'Keyword Test'!$J$5:$J$84,"No")</f>
        <v>2</v>
      </c>
      <c r="C27" s="18">
        <f>IF(B27=0,"",COUNTIFS('Keyword Test'!$D$5:$D$84,"English",'Keyword Test'!$F$5:$F$84,$A27,'Keyword Test'!$J$5:$J$84,"Yes")/B27)</f>
        <v>0</v>
      </c>
      <c r="D27" s="11">
        <f>COUNTIFS('Keyword Test'!$D$5:$D$84,"Nyanja",'Keyword Test'!$F$5:$F$84,$A27,'Keyword Test'!$J$5:$J$84,"Yes")+COUNTIFS('Keyword Test'!$D$5:$D$84,"Nyanja",'Keyword Test'!$F$5:$F$84,$A27,'Keyword Test'!$J$5:$J$84,"No")</f>
        <v>1</v>
      </c>
      <c r="E27" s="18">
        <f>IF(D27=0,"",COUNTIFS('Keyword Test'!$D$5:$D$84,"Nyanja",'Keyword Test'!$F$5:$F$84,$A27,'Keyword Test'!$J$5:$J$84,"Yes")/D27)</f>
        <v>1</v>
      </c>
    </row>
    <row r="28" spans="1:5" x14ac:dyDescent="0.3">
      <c r="A28" s="17" t="str">
        <f>Keywords!B11</f>
        <v>Baby</v>
      </c>
      <c r="B28" s="11">
        <f>COUNTIFS('Keyword Test'!$D$5:$D$84,"English",'Keyword Test'!$F$5:$F$84,$A28,'Keyword Test'!$J$5:$J$84,"Yes")+COUNTIFS('Keyword Test'!$D$5:$D$84,"English",'Keyword Test'!$F$5:$F$84,$A28,'Keyword Test'!$J$5:$J$84,"No")</f>
        <v>2</v>
      </c>
      <c r="C28" s="18">
        <f>IF(B28=0,"",COUNTIFS('Keyword Test'!$D$5:$D$84,"English",'Keyword Test'!$F$5:$F$84,$A28,'Keyword Test'!$J$5:$J$84,"Yes")/B28)</f>
        <v>1</v>
      </c>
      <c r="D28" s="11">
        <f>COUNTIFS('Keyword Test'!$D$5:$D$84,"Nyanja",'Keyword Test'!$F$5:$F$84,$A28,'Keyword Test'!$J$5:$J$84,"Yes")+COUNTIFS('Keyword Test'!$D$5:$D$84,"Nyanja",'Keyword Test'!$F$5:$F$84,$A28,'Keyword Test'!$J$5:$J$84,"No")</f>
        <v>1</v>
      </c>
      <c r="E28" s="18">
        <f>IF(D28=0,"",COUNTIFS('Keyword Test'!$D$5:$D$84,"Nyanja",'Keyword Test'!$F$5:$F$84,$A28,'Keyword Test'!$J$5:$J$84,"Yes")/D28)</f>
        <v>0</v>
      </c>
    </row>
    <row r="29" spans="1:5" x14ac:dyDescent="0.3">
      <c r="A29" s="17" t="str">
        <f>Keywords!B12</f>
        <v>Breastfeeding</v>
      </c>
      <c r="B29" s="11">
        <f>COUNTIFS('Keyword Test'!$D$5:$D$84,"English",'Keyword Test'!$F$5:$F$84,$A29,'Keyword Test'!$J$5:$J$84,"Yes")+COUNTIFS('Keyword Test'!$D$5:$D$84,"English",'Keyword Test'!$F$5:$F$84,$A29,'Keyword Test'!$J$5:$J$84,"No")</f>
        <v>2</v>
      </c>
      <c r="C29" s="18">
        <f>IF(B29=0,"",COUNTIFS('Keyword Test'!$D$5:$D$84,"English",'Keyword Test'!$F$5:$F$84,$A29,'Keyword Test'!$J$5:$J$84,"Yes")/B29)</f>
        <v>1</v>
      </c>
      <c r="D29" s="11">
        <f>COUNTIFS('Keyword Test'!$D$5:$D$84,"Nyanja",'Keyword Test'!$F$5:$F$84,$A29,'Keyword Test'!$J$5:$J$84,"Yes")+COUNTIFS('Keyword Test'!$D$5:$D$84,"Nyanja",'Keyword Test'!$F$5:$F$84,$A29,'Keyword Test'!$J$5:$J$84,"No")</f>
        <v>1</v>
      </c>
      <c r="E29" s="18">
        <f>IF(D29=0,"",COUNTIFS('Keyword Test'!$D$5:$D$84,"Nyanja",'Keyword Test'!$F$5:$F$84,$A29,'Keyword Test'!$J$5:$J$84,"Yes")/D29)</f>
        <v>1</v>
      </c>
    </row>
    <row r="30" spans="1:5" x14ac:dyDescent="0.3">
      <c r="A30" s="17" t="str">
        <f>Keywords!B13</f>
        <v>Vaccine</v>
      </c>
      <c r="B30" s="11">
        <f>COUNTIFS('Keyword Test'!$D$5:$D$84,"English",'Keyword Test'!$F$5:$F$84,$A30,'Keyword Test'!$J$5:$J$84,"Yes")+COUNTIFS('Keyword Test'!$D$5:$D$84,"English",'Keyword Test'!$F$5:$F$84,$A30,'Keyword Test'!$J$5:$J$84,"No")</f>
        <v>2</v>
      </c>
      <c r="C30" s="18">
        <f>IF(B30=0,"",COUNTIFS('Keyword Test'!$D$5:$D$84,"English",'Keyword Test'!$F$5:$F$84,$A30,'Keyword Test'!$J$5:$J$84,"Yes")/B30)</f>
        <v>1</v>
      </c>
      <c r="D30" s="11">
        <f>COUNTIFS('Keyword Test'!$D$5:$D$84,"Nyanja",'Keyword Test'!$F$5:$F$84,$A30,'Keyword Test'!$J$5:$J$84,"Yes")+COUNTIFS('Keyword Test'!$D$5:$D$84,"Nyanja",'Keyword Test'!$F$5:$F$84,$A30,'Keyword Test'!$J$5:$J$84,"No")</f>
        <v>1</v>
      </c>
      <c r="E30" s="18">
        <f>IF(D30=0,"",COUNTIFS('Keyword Test'!$D$5:$D$84,"Nyanja",'Keyword Test'!$F$5:$F$84,$A30,'Keyword Test'!$J$5:$J$84,"Yes")/D30)</f>
        <v>1</v>
      </c>
    </row>
    <row r="31" spans="1:5" x14ac:dyDescent="0.3">
      <c r="A31" s="17" t="str">
        <f>Keywords!B14</f>
        <v>Contraception</v>
      </c>
      <c r="B31" s="11">
        <f>COUNTIFS('Keyword Test'!$D$5:$D$84,"English",'Keyword Test'!$F$5:$F$84,$A31,'Keyword Test'!$J$5:$J$84,"Yes")+COUNTIFS('Keyword Test'!$D$5:$D$84,"English",'Keyword Test'!$F$5:$F$84,$A31,'Keyword Test'!$J$5:$J$84,"No")</f>
        <v>2</v>
      </c>
      <c r="C31" s="18">
        <f>IF(B31=0,"",COUNTIFS('Keyword Test'!$D$5:$D$84,"English",'Keyword Test'!$F$5:$F$84,$A31,'Keyword Test'!$J$5:$J$84,"Yes")/B31)</f>
        <v>1</v>
      </c>
      <c r="D31" s="11">
        <f>COUNTIFS('Keyword Test'!$D$5:$D$84,"Nyanja",'Keyword Test'!$F$5:$F$84,$A31,'Keyword Test'!$J$5:$J$84,"Yes")+COUNTIFS('Keyword Test'!$D$5:$D$84,"Nyanja",'Keyword Test'!$F$5:$F$84,$A31,'Keyword Test'!$J$5:$J$84,"No")</f>
        <v>1</v>
      </c>
      <c r="E31" s="18">
        <f>IF(D31=0,"",COUNTIFS('Keyword Test'!$D$5:$D$84,"Nyanja",'Keyword Test'!$F$5:$F$84,$A31,'Keyword Test'!$J$5:$J$84,"Yes")/D31)</f>
        <v>1</v>
      </c>
    </row>
    <row r="32" spans="1:5" x14ac:dyDescent="0.3">
      <c r="A32" s="17" t="str">
        <f>Keywords!B15</f>
        <v>Malaria</v>
      </c>
      <c r="B32" s="11">
        <f>COUNTIFS('Keyword Test'!$D$5:$D$84,"English",'Keyword Test'!$F$5:$F$84,$A32,'Keyword Test'!$J$5:$J$84,"Yes")+COUNTIFS('Keyword Test'!$D$5:$D$84,"English",'Keyword Test'!$F$5:$F$84,$A32,'Keyword Test'!$J$5:$J$84,"No")</f>
        <v>2</v>
      </c>
      <c r="C32" s="18">
        <f>IF(B32=0,"",COUNTIFS('Keyword Test'!$D$5:$D$84,"English",'Keyword Test'!$F$5:$F$84,$A32,'Keyword Test'!$J$5:$J$84,"Yes")/B32)</f>
        <v>1</v>
      </c>
      <c r="D32" s="11">
        <f>COUNTIFS('Keyword Test'!$D$5:$D$84,"Nyanja",'Keyword Test'!$F$5:$F$84,$A32,'Keyword Test'!$J$5:$J$84,"Yes")+COUNTIFS('Keyword Test'!$D$5:$D$84,"Nyanja",'Keyword Test'!$F$5:$F$84,$A32,'Keyword Test'!$J$5:$J$84,"No")</f>
        <v>1</v>
      </c>
      <c r="E32" s="18">
        <f>IF(D32=0,"",COUNTIFS('Keyword Test'!$D$5:$D$84,"Nyanja",'Keyword Test'!$F$5:$F$84,$A32,'Keyword Test'!$J$5:$J$84,"Yes")/D32)</f>
        <v>1</v>
      </c>
    </row>
    <row r="33" spans="1:6" x14ac:dyDescent="0.3">
      <c r="A33" s="17" t="str">
        <f>Keywords!B16</f>
        <v>Hygiene</v>
      </c>
      <c r="B33" s="11">
        <f>COUNTIFS('Keyword Test'!$D$5:$D$84,"English",'Keyword Test'!$F$5:$F$84,$A33,'Keyword Test'!$J$5:$J$84,"Yes")+COUNTIFS('Keyword Test'!$D$5:$D$84,"English",'Keyword Test'!$F$5:$F$84,$A33,'Keyword Test'!$J$5:$J$84,"No")</f>
        <v>2</v>
      </c>
      <c r="C33" s="18">
        <f>IF(B33=0,"",COUNTIFS('Keyword Test'!$D$5:$D$84,"English",'Keyword Test'!$F$5:$F$84,$A33,'Keyword Test'!$J$5:$J$84,"Yes")/B33)</f>
        <v>1</v>
      </c>
      <c r="D33" s="11">
        <f>COUNTIFS('Keyword Test'!$D$5:$D$84,"Nyanja",'Keyword Test'!$F$5:$F$84,$A33,'Keyword Test'!$J$5:$J$84,"Yes")+COUNTIFS('Keyword Test'!$D$5:$D$84,"Nyanja",'Keyword Test'!$F$5:$F$84,$A33,'Keyword Test'!$J$5:$J$84,"No")</f>
        <v>1</v>
      </c>
      <c r="E33" s="18">
        <f>IF(D33=0,"",COUNTIFS('Keyword Test'!$D$5:$D$84,"Nyanja",'Keyword Test'!$F$5:$F$84,$A33,'Keyword Test'!$J$5:$J$84,"Yes")/D33)</f>
        <v>0</v>
      </c>
    </row>
    <row r="34" spans="1:6" x14ac:dyDescent="0.3">
      <c r="A34" s="17" t="str">
        <f>Keywords!B17</f>
        <v>Water</v>
      </c>
      <c r="B34" s="11">
        <f>COUNTIFS('Keyword Test'!$D$5:$D$84,"English",'Keyword Test'!$F$5:$F$84,$A34,'Keyword Test'!$J$5:$J$84,"Yes")+COUNTIFS('Keyword Test'!$D$5:$D$84,"English",'Keyword Test'!$F$5:$F$84,$A34,'Keyword Test'!$J$5:$J$84,"No")</f>
        <v>2</v>
      </c>
      <c r="C34" s="18">
        <f>IF(B34=0,"",COUNTIFS('Keyword Test'!$D$5:$D$84,"English",'Keyword Test'!$F$5:$F$84,$A34,'Keyword Test'!$J$5:$J$84,"Yes")/B34)</f>
        <v>1</v>
      </c>
      <c r="D34" s="11">
        <f>COUNTIFS('Keyword Test'!$D$5:$D$84,"Nyanja",'Keyword Test'!$F$5:$F$84,$A34,'Keyword Test'!$J$5:$J$84,"Yes")+COUNTIFS('Keyword Test'!$D$5:$D$84,"Nyanja",'Keyword Test'!$F$5:$F$84,$A34,'Keyword Test'!$J$5:$J$84,"No")</f>
        <v>1</v>
      </c>
      <c r="E34" s="18">
        <f>IF(D34=0,"",COUNTIFS('Keyword Test'!$D$5:$D$84,"Nyanja",'Keyword Test'!$F$5:$F$84,$A34,'Keyword Test'!$J$5:$J$84,"Yes")/D34)</f>
        <v>1</v>
      </c>
    </row>
    <row r="35" spans="1:6" x14ac:dyDescent="0.3">
      <c r="A35" s="17" t="str">
        <f>Keywords!B18</f>
        <v>Rest</v>
      </c>
      <c r="B35" s="11">
        <f>COUNTIFS('Keyword Test'!$D$5:$D$84,"English",'Keyword Test'!$F$5:$F$84,$A35,'Keyword Test'!$J$5:$J$84,"Yes")+COUNTIFS('Keyword Test'!$D$5:$D$84,"English",'Keyword Test'!$F$5:$F$84,$A35,'Keyword Test'!$J$5:$J$84,"No")</f>
        <v>2</v>
      </c>
      <c r="C35" s="18">
        <f>IF(B35=0,"",COUNTIFS('Keyword Test'!$D$5:$D$84,"English",'Keyword Test'!$F$5:$F$84,$A35,'Keyword Test'!$J$5:$J$84,"Yes")/B35)</f>
        <v>1</v>
      </c>
      <c r="D35" s="11">
        <f>COUNTIFS('Keyword Test'!$D$5:$D$84,"Nyanja",'Keyword Test'!$F$5:$F$84,$A35,'Keyword Test'!$J$5:$J$84,"Yes")+COUNTIFS('Keyword Test'!$D$5:$D$84,"Nyanja",'Keyword Test'!$F$5:$F$84,$A35,'Keyword Test'!$J$5:$J$84,"No")</f>
        <v>1</v>
      </c>
      <c r="E35" s="18">
        <f>IF(D35=0,"",COUNTIFS('Keyword Test'!$D$5:$D$84,"Nyanja",'Keyword Test'!$F$5:$F$84,$A35,'Keyword Test'!$J$5:$J$84,"Yes")/D35)</f>
        <v>1</v>
      </c>
    </row>
    <row r="36" spans="1:6" x14ac:dyDescent="0.3">
      <c r="A36" s="17" t="str">
        <f>Keywords!B19</f>
        <v>Medicine</v>
      </c>
      <c r="B36" s="11">
        <f>COUNTIFS('Keyword Test'!$D$5:$D$84,"English",'Keyword Test'!$F$5:$F$84,$A36,'Keyword Test'!$J$5:$J$84,"Yes")+COUNTIFS('Keyword Test'!$D$5:$D$84,"English",'Keyword Test'!$F$5:$F$84,$A36,'Keyword Test'!$J$5:$J$84,"No")</f>
        <v>2</v>
      </c>
      <c r="C36" s="18">
        <f>IF(B36=0,"",COUNTIFS('Keyword Test'!$D$5:$D$84,"English",'Keyword Test'!$F$5:$F$84,$A36,'Keyword Test'!$J$5:$J$84,"Yes")/B36)</f>
        <v>1</v>
      </c>
      <c r="D36" s="11">
        <f>COUNTIFS('Keyword Test'!$D$5:$D$84,"Nyanja",'Keyword Test'!$F$5:$F$84,$A36,'Keyword Test'!$J$5:$J$84,"Yes")+COUNTIFS('Keyword Test'!$D$5:$D$84,"Nyanja",'Keyword Test'!$F$5:$F$84,$A36,'Keyword Test'!$J$5:$J$84,"No")</f>
        <v>1</v>
      </c>
      <c r="E36" s="18">
        <f>IF(D36=0,"",COUNTIFS('Keyword Test'!$D$5:$D$84,"Nyanja",'Keyword Test'!$F$5:$F$84,$A36,'Keyword Test'!$J$5:$J$84,"Yes")/D36)</f>
        <v>1</v>
      </c>
    </row>
    <row r="37" spans="1:6" x14ac:dyDescent="0.3">
      <c r="A37" s="17" t="str">
        <f>Keywords!B20</f>
        <v>Pills</v>
      </c>
      <c r="B37" s="11">
        <f>COUNTIFS('Keyword Test'!$D$5:$D$84,"English",'Keyword Test'!$F$5:$F$84,$A37,'Keyword Test'!$J$5:$J$84,"Yes")+COUNTIFS('Keyword Test'!$D$5:$D$84,"English",'Keyword Test'!$F$5:$F$84,$A37,'Keyword Test'!$J$5:$J$84,"No")</f>
        <v>2</v>
      </c>
      <c r="C37" s="18">
        <f>IF(B37=0,"",COUNTIFS('Keyword Test'!$D$5:$D$84,"English",'Keyword Test'!$F$5:$F$84,$A37,'Keyword Test'!$J$5:$J$84,"Yes")/B37)</f>
        <v>1</v>
      </c>
      <c r="D37" s="11">
        <f>COUNTIFS('Keyword Test'!$D$5:$D$84,"Nyanja",'Keyword Test'!$F$5:$F$84,$A37,'Keyword Test'!$J$5:$J$84,"Yes")+COUNTIFS('Keyword Test'!$D$5:$D$84,"Nyanja",'Keyword Test'!$F$5:$F$84,$A37,'Keyword Test'!$J$5:$J$84,"No")</f>
        <v>1</v>
      </c>
      <c r="E37" s="18">
        <f>IF(D37=0,"",COUNTIFS('Keyword Test'!$D$5:$D$84,"Nyanja",'Keyword Test'!$F$5:$F$84,$A37,'Keyword Test'!$J$5:$J$84,"Yes")/D37)</f>
        <v>1</v>
      </c>
    </row>
    <row r="38" spans="1:6" x14ac:dyDescent="0.3">
      <c r="A38" s="17" t="str">
        <f>Keywords!B21</f>
        <v>Postnatal</v>
      </c>
      <c r="B38" s="11">
        <f>COUNTIFS('Keyword Test'!$D$5:$D$84,"English",'Keyword Test'!$F$5:$F$84,$A38,'Keyword Test'!$J$5:$J$84,"Yes")+COUNTIFS('Keyword Test'!$D$5:$D$84,"English",'Keyword Test'!$F$5:$F$84,$A38,'Keyword Test'!$J$5:$J$84,"No")</f>
        <v>2</v>
      </c>
      <c r="C38" s="18">
        <f>IF(B38=0,"",COUNTIFS('Keyword Test'!$D$5:$D$84,"English",'Keyword Test'!$F$5:$F$84,$A38,'Keyword Test'!$J$5:$J$84,"Yes")/B38)</f>
        <v>0.5</v>
      </c>
      <c r="D38" s="11">
        <f>COUNTIFS('Keyword Test'!$D$5:$D$84,"Nyanja",'Keyword Test'!$F$5:$F$84,$A38,'Keyword Test'!$J$5:$J$84,"Yes")+COUNTIFS('Keyword Test'!$D$5:$D$84,"Nyanja",'Keyword Test'!$F$5:$F$84,$A38,'Keyword Test'!$J$5:$J$84,"No")</f>
        <v>1</v>
      </c>
      <c r="E38" s="18">
        <f>IF(D38=0,"",COUNTIFS('Keyword Test'!$D$5:$D$84,"Nyanja",'Keyword Test'!$F$5:$F$84,$A38,'Keyword Test'!$J$5:$J$84,"Yes")/D38)</f>
        <v>1</v>
      </c>
    </row>
    <row r="39" spans="1:6" x14ac:dyDescent="0.3">
      <c r="A39" s="17" t="str">
        <f>Keywords!B22</f>
        <v>Child</v>
      </c>
      <c r="B39" s="11">
        <f>COUNTIFS('Keyword Test'!$D$5:$D$84,"English",'Keyword Test'!$F$5:$F$84,$A39,'Keyword Test'!$J$5:$J$84,"Yes")+COUNTIFS('Keyword Test'!$D$5:$D$84,"English",'Keyword Test'!$F$5:$F$84,$A39,'Keyword Test'!$J$5:$J$84,"No")</f>
        <v>2</v>
      </c>
      <c r="C39" s="18">
        <f>IF(B39=0,"",COUNTIFS('Keyword Test'!$D$5:$D$84,"English",'Keyword Test'!$F$5:$F$84,$A39,'Keyword Test'!$J$5:$J$84,"Yes")/B39)</f>
        <v>1</v>
      </c>
      <c r="D39" s="11">
        <f>COUNTIFS('Keyword Test'!$D$5:$D$84,"Nyanja",'Keyword Test'!$F$5:$F$84,$A39,'Keyword Test'!$J$5:$J$84,"Yes")+COUNTIFS('Keyword Test'!$D$5:$D$84,"Nyanja",'Keyword Test'!$F$5:$F$84,$A39,'Keyword Test'!$J$5:$J$84,"No")</f>
        <v>1</v>
      </c>
      <c r="E39" s="18">
        <f>IF(D39=0,"",COUNTIFS('Keyword Test'!$D$5:$D$84,"Nyanja",'Keyword Test'!$F$5:$F$84,$A39,'Keyword Test'!$J$5:$J$84,"Yes")/D39)</f>
        <v>1</v>
      </c>
    </row>
    <row r="40" spans="1:6" x14ac:dyDescent="0.3">
      <c r="A40" s="17" t="str">
        <f>Keywords!B23</f>
        <v>Help</v>
      </c>
      <c r="B40" s="11">
        <f>COUNTIFS('Keyword Test'!$D$5:$D$84,"English",'Keyword Test'!$F$5:$F$84,$A40,'Keyword Test'!$J$5:$J$84,"Yes")+COUNTIFS('Keyword Test'!$D$5:$D$84,"English",'Keyword Test'!$F$5:$F$84,$A40,'Keyword Test'!$J$5:$J$84,"No")</f>
        <v>2</v>
      </c>
      <c r="C40" s="18">
        <f>IF(B40=0,"",COUNTIFS('Keyword Test'!$D$5:$D$84,"English",'Keyword Test'!$F$5:$F$84,$A40,'Keyword Test'!$J$5:$J$84,"Yes")/B40)</f>
        <v>1</v>
      </c>
      <c r="D40" s="11">
        <f>COUNTIFS('Keyword Test'!$D$5:$D$84,"Nyanja",'Keyword Test'!$F$5:$F$84,$A40,'Keyword Test'!$J$5:$J$84,"Yes")+COUNTIFS('Keyword Test'!$D$5:$D$84,"Nyanja",'Keyword Test'!$F$5:$F$84,$A40,'Keyword Test'!$J$5:$J$84,"No")</f>
        <v>1</v>
      </c>
      <c r="E40" s="18">
        <f>IF(D40=0,"",COUNTIFS('Keyword Test'!$D$5:$D$84,"Nyanja",'Keyword Test'!$F$5:$F$84,$A40,'Keyword Test'!$J$5:$J$84,"Yes")/D40)</f>
        <v>1</v>
      </c>
    </row>
    <row r="41" spans="1:6" x14ac:dyDescent="0.3">
      <c r="A41" s="17" t="str">
        <f>Keywords!B24</f>
        <v>Fever</v>
      </c>
      <c r="B41" s="11">
        <f>COUNTIFS('Keyword Test'!$D$5:$D$84,"English",'Keyword Test'!$F$5:$F$84,$A41,'Keyword Test'!$J$5:$J$84,"Yes")+COUNTIFS('Keyword Test'!$D$5:$D$84,"English",'Keyword Test'!$F$5:$F$84,$A41,'Keyword Test'!$J$5:$J$84,"No")</f>
        <v>2</v>
      </c>
      <c r="C41" s="18">
        <f>IF(B41=0,"",COUNTIFS('Keyword Test'!$D$5:$D$84,"English",'Keyword Test'!$F$5:$F$84,$A41,'Keyword Test'!$J$5:$J$84,"Yes")/B41)</f>
        <v>0.5</v>
      </c>
      <c r="D41" s="11">
        <f>COUNTIFS('Keyword Test'!$D$5:$D$84,"Nyanja",'Keyword Test'!$F$5:$F$84,$A41,'Keyword Test'!$J$5:$J$84,"Yes")+COUNTIFS('Keyword Test'!$D$5:$D$84,"Nyanja",'Keyword Test'!$F$5:$F$84,$A41,'Keyword Test'!$J$5:$J$84,"No")</f>
        <v>1</v>
      </c>
      <c r="E41" s="18">
        <f>IF(D41=0,"",COUNTIFS('Keyword Test'!$D$5:$D$84,"Nyanja",'Keyword Test'!$F$5:$F$84,$A41,'Keyword Test'!$J$5:$J$84,"Yes")/D41)</f>
        <v>1</v>
      </c>
    </row>
    <row r="43" spans="1:6" x14ac:dyDescent="0.3">
      <c r="A43" s="3" t="s">
        <v>363</v>
      </c>
      <c r="B43" s="4"/>
      <c r="C43" s="4"/>
      <c r="D43" s="4"/>
      <c r="E43" s="4"/>
      <c r="F43" s="4"/>
    </row>
    <row r="44" spans="1:6" ht="31.5" customHeight="1" x14ac:dyDescent="0.3">
      <c r="A44" s="10" t="s">
        <v>135</v>
      </c>
      <c r="B44" s="10" t="s">
        <v>364</v>
      </c>
      <c r="C44" s="10" t="s">
        <v>365</v>
      </c>
      <c r="D44" s="10" t="s">
        <v>366</v>
      </c>
      <c r="E44" s="10" t="s">
        <v>367</v>
      </c>
      <c r="F44" s="10" t="s">
        <v>368</v>
      </c>
    </row>
    <row r="45" spans="1:6" x14ac:dyDescent="0.3">
      <c r="A45" s="17" t="s">
        <v>110</v>
      </c>
      <c r="B45" s="11">
        <f>COUNTIFS('Keyword Test'!$D$5:$D$84,A45,'Keyword Test'!$M$5:$M$84,"Yes")+COUNTIFS('Keyword Test'!$D$5:$D$84,A45,'Keyword Test'!$M$5:$M$84,"No")</f>
        <v>3</v>
      </c>
      <c r="C45" s="11">
        <f>COUNTIFS('Keyword Test'!$D$5:$D$84,A45,'Keyword Test'!$M$5:$M$84,"Yes")</f>
        <v>1</v>
      </c>
      <c r="D45" s="18">
        <f>IF(B45=0,"",C45/B45)</f>
        <v>0.33333333333333331</v>
      </c>
      <c r="E45" s="21">
        <f>IFERROR(AVERAGEIFS('Keyword Test'!$L$5:$L$84,'Keyword Test'!$D$5:$D$84,A45),"")</f>
        <v>5.0789999999999997</v>
      </c>
      <c r="F45" s="21" t="e">
        <f ca="1">IF(COUNTIFS('Keyword Test'!$D$5:$D$84,A45,'Keyword Test'!$L$5:$L$84,"&gt;0")=0,"",_xlfn.MAXIFS('Keyword Test'!$L$5:$L$84,'Keyword Test'!$D$5:$D$84,A45))</f>
        <v>#NAME?</v>
      </c>
    </row>
    <row r="46" spans="1:6" x14ac:dyDescent="0.3">
      <c r="A46" s="17" t="s">
        <v>111</v>
      </c>
      <c r="B46" s="11">
        <f>COUNTIFS('Keyword Test'!$D$5:$D$84,A46,'Keyword Test'!$M$5:$M$84,"Yes")+COUNTIFS('Keyword Test'!$D$5:$D$84,A46,'Keyword Test'!$M$5:$M$84,"No")</f>
        <v>0</v>
      </c>
      <c r="C46" s="11">
        <f>COUNTIFS('Keyword Test'!$D$5:$D$84,A46,'Keyword Test'!$M$5:$M$84,"Yes")</f>
        <v>0</v>
      </c>
      <c r="D46" s="18" t="str">
        <f>IF(B46=0,"",C46/B46)</f>
        <v/>
      </c>
      <c r="E46" s="21">
        <f>IFERROR(AVERAGEIFS('Keyword Test'!$L$5:$L$84,'Keyword Test'!$D$5:$D$84,A46),"")</f>
        <v>6.43</v>
      </c>
      <c r="F46" s="21" t="e">
        <f ca="1">IF(COUNTIFS('Keyword Test'!$D$5:$D$84,A46,'Keyword Test'!$L$5:$L$84,"&gt;0")=0,"",_xlfn.MAXIFS('Keyword Test'!$L$5:$L$84,'Keyword Test'!$D$5:$D$84,A46))</f>
        <v>#NAME?</v>
      </c>
    </row>
    <row r="47" spans="1:6" x14ac:dyDescent="0.3">
      <c r="A47" s="17" t="s">
        <v>353</v>
      </c>
      <c r="B47" s="11">
        <f>B45+B46</f>
        <v>3</v>
      </c>
      <c r="C47" s="11">
        <f>C45+C46</f>
        <v>1</v>
      </c>
      <c r="D47" s="18">
        <f>IF(B47=0,"",C47/B47)</f>
        <v>0.33333333333333331</v>
      </c>
      <c r="E47" s="21">
        <f>IF(COUNT('Keyword Test'!$L$5:$L$84)=0,"",AVERAGE('Keyword Test'!$L$5:$L$84))</f>
        <v>5.5293333333333319</v>
      </c>
      <c r="F47" s="21">
        <f>IF(COUNT('Keyword Test'!$L$5:$L$84)=0,"",MAX('Keyword Test'!$L$5:$L$84))</f>
        <v>31</v>
      </c>
    </row>
    <row r="49" spans="1:5" x14ac:dyDescent="0.3">
      <c r="A49" s="3" t="s">
        <v>369</v>
      </c>
      <c r="B49" s="4"/>
      <c r="C49" s="4"/>
      <c r="D49" s="4"/>
      <c r="E49" s="4"/>
    </row>
    <row r="50" spans="1:5" ht="31.5" customHeight="1" x14ac:dyDescent="0.3">
      <c r="A50" s="10" t="s">
        <v>134</v>
      </c>
      <c r="B50" s="10" t="s">
        <v>357</v>
      </c>
      <c r="C50" s="10" t="s">
        <v>358</v>
      </c>
      <c r="D50" s="10" t="s">
        <v>359</v>
      </c>
      <c r="E50" s="10" t="s">
        <v>360</v>
      </c>
    </row>
    <row r="51" spans="1:5" x14ac:dyDescent="0.3">
      <c r="A51" s="17" t="s">
        <v>148</v>
      </c>
      <c r="B51" s="11">
        <f>COUNTIFS('Keyword Test'!$D$5:$D$84,"English",'Keyword Test'!$C$5:$C$84,$A51,'Keyword Test'!$J$5:$J$84,"Yes")+COUNTIFS('Keyword Test'!$D$5:$D$84,"English",'Keyword Test'!$C$5:$C$84,$A51,'Keyword Test'!$J$5:$J$84,"No")</f>
        <v>40</v>
      </c>
      <c r="C51" s="18">
        <f>IF(B51=0,"",COUNTIFS('Keyword Test'!$D$5:$D$84,"English",'Keyword Test'!$C$5:$C$84,$A51,'Keyword Test'!$J$5:$J$84,"Yes")/B51)</f>
        <v>0.9</v>
      </c>
      <c r="D51" s="11">
        <f>COUNTIFS('Keyword Test'!$D$5:$D$84,"Nyanja",'Keyword Test'!$C$5:$C$84,$A51,'Keyword Test'!$J$5:$J$84,"Yes")+COUNTIFS('Keyword Test'!$D$5:$D$84,"Nyanja",'Keyword Test'!$C$5:$C$84,$A51,'Keyword Test'!$J$5:$J$84,"No")</f>
        <v>20</v>
      </c>
      <c r="E51" s="18">
        <f>IF(D51=0,"",COUNTIFS('Keyword Test'!$D$5:$D$84,"Nyanja",'Keyword Test'!$C$5:$C$84,$A51,'Keyword Test'!$J$5:$J$84,"Yes")/D51)</f>
        <v>0.9</v>
      </c>
    </row>
    <row r="52" spans="1:5" x14ac:dyDescent="0.3">
      <c r="A52" s="17" t="s">
        <v>370</v>
      </c>
      <c r="B52" s="11">
        <f>COUNTIFS('Keyword Test'!$D$5:$D$84,"English",'Keyword Test'!$C$5:$C$84,$A52,'Keyword Test'!$J$5:$J$84,"Yes")+COUNTIFS('Keyword Test'!$D$5:$D$84,"English",'Keyword Test'!$C$5:$C$84,$A52,'Keyword Test'!$J$5:$J$84,"No")</f>
        <v>0</v>
      </c>
      <c r="C52" s="18" t="str">
        <f>IF(B52=0,"",COUNTIFS('Keyword Test'!$D$5:$D$84,"English",'Keyword Test'!$C$5:$C$84,$A52,'Keyword Test'!$J$5:$J$84,"Yes")/B52)</f>
        <v/>
      </c>
      <c r="D52" s="11">
        <f>COUNTIFS('Keyword Test'!$D$5:$D$84,"Nyanja",'Keyword Test'!$C$5:$C$84,$A52,'Keyword Test'!$J$5:$J$84,"Yes")+COUNTIFS('Keyword Test'!$D$5:$D$84,"Nyanja",'Keyword Test'!$C$5:$C$84,$A52,'Keyword Test'!$J$5:$J$84,"No")</f>
        <v>0</v>
      </c>
      <c r="E52" s="18" t="str">
        <f>IF(D52=0,"",COUNTIFS('Keyword Test'!$D$5:$D$84,"Nyanja",'Keyword Test'!$C$5:$C$84,$A52,'Keyword Test'!$J$5:$J$84,"Yes")/D52)</f>
        <v/>
      </c>
    </row>
    <row r="53" spans="1:5" x14ac:dyDescent="0.3">
      <c r="A53" s="17" t="s">
        <v>371</v>
      </c>
      <c r="B53" s="11">
        <f>COUNTIFS('Keyword Test'!$D$5:$D$84,"English",'Keyword Test'!$C$5:$C$84,$A53,'Keyword Test'!$J$5:$J$84,"Yes")+COUNTIFS('Keyword Test'!$D$5:$D$84,"English",'Keyword Test'!$C$5:$C$84,$A53,'Keyword Test'!$J$5:$J$84,"No")</f>
        <v>0</v>
      </c>
      <c r="C53" s="18" t="str">
        <f>IF(B53=0,"",COUNTIFS('Keyword Test'!$D$5:$D$84,"English",'Keyword Test'!$C$5:$C$84,$A53,'Keyword Test'!$J$5:$J$84,"Yes")/B53)</f>
        <v/>
      </c>
      <c r="D53" s="11">
        <f>COUNTIFS('Keyword Test'!$D$5:$D$84,"Nyanja",'Keyword Test'!$C$5:$C$84,$A53,'Keyword Test'!$J$5:$J$84,"Yes")+COUNTIFS('Keyword Test'!$D$5:$D$84,"Nyanja",'Keyword Test'!$C$5:$C$84,$A53,'Keyword Test'!$J$5:$J$84,"No")</f>
        <v>0</v>
      </c>
      <c r="E53" s="18" t="str">
        <f>IF(D53=0,"",COUNTIFS('Keyword Test'!$D$5:$D$84,"Nyanja",'Keyword Test'!$C$5:$C$84,$A53,'Keyword Test'!$J$5:$J$84,"Yes")/D53)</f>
        <v/>
      </c>
    </row>
    <row r="55" spans="1:5" x14ac:dyDescent="0.3">
      <c r="A55" s="3" t="s">
        <v>372</v>
      </c>
      <c r="B55" s="4"/>
      <c r="C55" s="4"/>
      <c r="D55" s="4"/>
      <c r="E55" s="4"/>
    </row>
    <row r="56" spans="1:5" ht="31.5" customHeight="1" x14ac:dyDescent="0.3">
      <c r="A56" s="10" t="s">
        <v>142</v>
      </c>
      <c r="B56" s="10" t="s">
        <v>373</v>
      </c>
      <c r="C56" s="10" t="s">
        <v>374</v>
      </c>
      <c r="D56" s="10" t="s">
        <v>375</v>
      </c>
      <c r="E56" s="10" t="s">
        <v>376</v>
      </c>
    </row>
    <row r="57" spans="1:5" x14ac:dyDescent="0.3">
      <c r="A57" s="17" t="s">
        <v>30</v>
      </c>
      <c r="B57" s="11">
        <f>COUNTIFS('Keyword Test'!$D$5:$D$84,"English",'Keyword Test'!$K$5:$K$84,$A57,'Keyword Test'!$J$5:$J$84,"No")</f>
        <v>0</v>
      </c>
      <c r="C57" s="11">
        <f>COUNTIFS('Keyword Test'!$D$5:$D$84,"Nyanja",'Keyword Test'!$K$5:$K$84,$A57,'Keyword Test'!$J$5:$J$84,"No")</f>
        <v>0</v>
      </c>
      <c r="D57" s="11">
        <f>COUNTIFS('Command Test'!$C$5:$C$28,"English",'Command Test'!$I$5:$I$28,$A57,'Command Test'!$H$5:$H$28,"No")</f>
        <v>0</v>
      </c>
      <c r="E57" s="11">
        <f>COUNTIFS('Command Test'!$C$5:$C$28,"Nyanja",'Command Test'!$I$5:$I$28,$A57,'Command Test'!$H$5:$H$28,"No")</f>
        <v>0</v>
      </c>
    </row>
    <row r="58" spans="1:5" x14ac:dyDescent="0.3">
      <c r="A58" s="17" t="s">
        <v>32</v>
      </c>
      <c r="B58" s="11">
        <f>COUNTIFS('Keyword Test'!$D$5:$D$84,"English",'Keyword Test'!$K$5:$K$84,$A58,'Keyword Test'!$J$5:$J$84,"No")</f>
        <v>0</v>
      </c>
      <c r="C58" s="11">
        <f>COUNTIFS('Keyword Test'!$D$5:$D$84,"Nyanja",'Keyword Test'!$K$5:$K$84,$A58,'Keyword Test'!$J$5:$J$84,"No")</f>
        <v>0</v>
      </c>
      <c r="D58" s="11">
        <f>COUNTIFS('Command Test'!$C$5:$C$28,"English",'Command Test'!$I$5:$I$28,$A58,'Command Test'!$H$5:$H$28,"No")</f>
        <v>0</v>
      </c>
      <c r="E58" s="11">
        <f>COUNTIFS('Command Test'!$C$5:$C$28,"Nyanja",'Command Test'!$I$5:$I$28,$A58,'Command Test'!$H$5:$H$28,"No")</f>
        <v>0</v>
      </c>
    </row>
    <row r="59" spans="1:5" x14ac:dyDescent="0.3">
      <c r="A59" s="17" t="s">
        <v>34</v>
      </c>
      <c r="B59" s="11">
        <f>COUNTIFS('Keyword Test'!$D$5:$D$84,"English",'Keyword Test'!$K$5:$K$84,$A59,'Keyword Test'!$J$5:$J$84,"No")</f>
        <v>0</v>
      </c>
      <c r="C59" s="11">
        <f>COUNTIFS('Keyword Test'!$D$5:$D$84,"Nyanja",'Keyword Test'!$K$5:$K$84,$A59,'Keyword Test'!$J$5:$J$84,"No")</f>
        <v>0</v>
      </c>
      <c r="D59" s="11">
        <f>COUNTIFS('Command Test'!$C$5:$C$28,"English",'Command Test'!$I$5:$I$28,$A59,'Command Test'!$H$5:$H$28,"No")</f>
        <v>0</v>
      </c>
      <c r="E59" s="11">
        <f>COUNTIFS('Command Test'!$C$5:$C$28,"Nyanja",'Command Test'!$I$5:$I$28,$A59,'Command Test'!$H$5:$H$28,"No")</f>
        <v>0</v>
      </c>
    </row>
    <row r="60" spans="1:5" x14ac:dyDescent="0.3">
      <c r="A60" s="17" t="s">
        <v>36</v>
      </c>
      <c r="B60" s="11">
        <f>COUNTIFS('Keyword Test'!$D$5:$D$84,"English",'Keyword Test'!$K$5:$K$84,$A60,'Keyword Test'!$J$5:$J$84,"No")</f>
        <v>4</v>
      </c>
      <c r="C60" s="11">
        <f>COUNTIFS('Keyword Test'!$D$5:$D$84,"Nyanja",'Keyword Test'!$K$5:$K$84,$A60,'Keyword Test'!$J$5:$J$84,"No")</f>
        <v>0</v>
      </c>
      <c r="D60" s="11">
        <f>COUNTIFS('Command Test'!$C$5:$C$28,"English",'Command Test'!$I$5:$I$28,$A60,'Command Test'!$H$5:$H$28,"No")</f>
        <v>0</v>
      </c>
      <c r="E60" s="11">
        <f>COUNTIFS('Command Test'!$C$5:$C$28,"Nyanja",'Command Test'!$I$5:$I$28,$A60,'Command Test'!$H$5:$H$28,"No")</f>
        <v>0</v>
      </c>
    </row>
    <row r="61" spans="1:5" x14ac:dyDescent="0.3">
      <c r="A61" s="17" t="s">
        <v>38</v>
      </c>
      <c r="B61" s="11">
        <f>COUNTIFS('Keyword Test'!$D$5:$D$84,"English",'Keyword Test'!$K$5:$K$84,$A61,'Keyword Test'!$J$5:$J$84,"No")</f>
        <v>0</v>
      </c>
      <c r="C61" s="11">
        <f>COUNTIFS('Keyword Test'!$D$5:$D$84,"Nyanja",'Keyword Test'!$K$5:$K$84,$A61,'Keyword Test'!$J$5:$J$84,"No")</f>
        <v>0</v>
      </c>
      <c r="D61" s="11">
        <f>COUNTIFS('Command Test'!$C$5:$C$28,"English",'Command Test'!$I$5:$I$28,$A61,'Command Test'!$H$5:$H$28,"No")</f>
        <v>0</v>
      </c>
      <c r="E61" s="11">
        <f>COUNTIFS('Command Test'!$C$5:$C$28,"Nyanja",'Command Test'!$I$5:$I$28,$A61,'Command Test'!$H$5:$H$28,"No")</f>
        <v>0</v>
      </c>
    </row>
    <row r="62" spans="1:5" x14ac:dyDescent="0.3">
      <c r="A62" s="17" t="s">
        <v>377</v>
      </c>
      <c r="B62" s="11">
        <f>SUM(B57:B61)</f>
        <v>4</v>
      </c>
      <c r="C62" s="11">
        <f>SUM(C57:C61)</f>
        <v>0</v>
      </c>
      <c r="D62" s="11">
        <f>SUM(D57:D61)</f>
        <v>0</v>
      </c>
      <c r="E62" s="11">
        <f>SUM(E57:E61)</f>
        <v>0</v>
      </c>
    </row>
    <row r="63" spans="1:5" x14ac:dyDescent="0.3">
      <c r="A63" s="22" t="s">
        <v>378</v>
      </c>
      <c r="B63" s="11">
        <f>SUMPRODUCT(('Keyword Test'!$J$5:$J$84="No")*((('Keyword Test'!$K$5:$K$84="")+('Keyword Test'!$K$5:$K$84="None"))&gt;0))+SUMPRODUCT(('Command Test'!$H$5:$H$28="No")*((('Command Test'!$I$5:$I$28="")+('Command Test'!$I$5:$I$28="None"))&gt;0))</f>
        <v>2</v>
      </c>
    </row>
    <row r="65" spans="1:6" x14ac:dyDescent="0.3">
      <c r="A65" s="3" t="s">
        <v>379</v>
      </c>
      <c r="B65" s="4"/>
      <c r="C65" s="4"/>
      <c r="D65" s="4"/>
      <c r="E65" s="4"/>
      <c r="F65" s="4"/>
    </row>
    <row r="66" spans="1:6" ht="31.5" customHeight="1" x14ac:dyDescent="0.3">
      <c r="A66" s="10" t="s">
        <v>135</v>
      </c>
      <c r="B66" s="10" t="s">
        <v>380</v>
      </c>
      <c r="C66" s="10" t="s">
        <v>381</v>
      </c>
      <c r="D66" s="10" t="s">
        <v>382</v>
      </c>
      <c r="E66" s="10" t="s">
        <v>383</v>
      </c>
      <c r="F66" s="10" t="s">
        <v>384</v>
      </c>
    </row>
    <row r="67" spans="1:6" x14ac:dyDescent="0.3">
      <c r="A67" s="17" t="s">
        <v>110</v>
      </c>
      <c r="B67" s="23"/>
      <c r="C67" s="24"/>
      <c r="D67" s="24"/>
      <c r="E67" s="23"/>
      <c r="F67" s="24"/>
    </row>
    <row r="68" spans="1:6" x14ac:dyDescent="0.3">
      <c r="A68" s="17" t="s">
        <v>111</v>
      </c>
      <c r="B68" s="23"/>
      <c r="C68" s="24"/>
      <c r="D68" s="24"/>
      <c r="E68" s="23"/>
      <c r="F68" s="24"/>
    </row>
    <row r="69" spans="1:6" x14ac:dyDescent="0.3">
      <c r="A69" s="17" t="s">
        <v>353</v>
      </c>
      <c r="B69" s="23"/>
      <c r="C69" s="24"/>
      <c r="D69" s="24"/>
      <c r="E69" s="23"/>
      <c r="F69" s="24"/>
    </row>
  </sheetData>
  <conditionalFormatting sqref="F5:F6">
    <cfRule type="cellIs" dxfId="1" priority="2" operator="equal">
      <formula>"Met"</formula>
    </cfRule>
    <cfRule type="cellIs" dxfId="0" priority="3" operator="equal">
      <formula>"Not met"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Setup</vt:lpstr>
      <vt:lpstr>Keywords</vt:lpstr>
      <vt:lpstr>Keyword Test</vt:lpstr>
      <vt:lpstr>Command Test</vt:lpstr>
      <vt:lpstr>Sentence Test</vt:lpstr>
      <vt:lpstr>Summary</vt:lpstr>
      <vt:lpstr>'Keyword Test'!Print_Titles</vt:lpstr>
      <vt:lpstr>'Sentence Test'!Print_Titles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Lushomo Munsaka</cp:lastModifiedBy>
  <cp:revision>0</cp:revision>
  <dcterms:created xsi:type="dcterms:W3CDTF">2026-10-16T11:44:27Z</dcterms:created>
  <dcterms:modified xsi:type="dcterms:W3CDTF">2026-10-19T15:07:48Z</dcterms:modified>
  <dc:language>en-US</dc:language>
</cp:coreProperties>
</file>